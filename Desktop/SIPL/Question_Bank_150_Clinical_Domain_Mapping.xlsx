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150 Questions" sheetId="1" state="visible" r:id="rId3"/>
    <sheet name="Section Summary" sheetId="2" state="visible" r:id="rId4"/>
    <sheet name="Relevance Tag Summary" sheetId="3" state="visible" r:id="rId5"/>
    <sheet name="Candidate Pool (for the 30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<sst xmlns="http://schemas.openxmlformats.org/spreadsheetml/2006/main" count="1192" uniqueCount="650">
  <si>
    <t xml:space="preserve">#</t>
  </si>
  <si>
    <t xml:space="preserve">Section</t>
  </si>
  <si>
    <t xml:space="preserve">Domain</t>
  </si>
  <si>
    <t xml:space="preserve">Interview Question</t>
  </si>
  <si>
    <t xml:space="preserve">Response Format</t>
  </si>
  <si>
    <t xml:space="preserve">Clinical Relevance / ICD-10 Mapping</t>
  </si>
  <si>
    <t xml:space="preserve">Screening Relevance Tag</t>
  </si>
  <si>
    <t xml:space="preserve">Include in Final 30? (fill in)</t>
  </si>
  <si>
    <t xml:space="preserve">SECTION A: DEMOGRAPHICS &amp; BACKGROUND</t>
  </si>
  <si>
    <t xml:space="preserve">Identification</t>
  </si>
  <si>
    <t xml:space="preserve">Can you please tell me your full name and what you prefer to be called?</t>
  </si>
  <si>
    <t xml:space="preserve">Free text / preferred name</t>
  </si>
  <si>
    <t xml:space="preserve">Rapport building; record preferred name for subsequent interview</t>
  </si>
  <si>
    <t xml:space="preserve">Demographics (contextual, not scale-mapped)</t>
  </si>
  <si>
    <t xml:space="preserve">Age / DOB</t>
  </si>
  <si>
    <t xml:space="preserve">How old are you? Could you tell me your date of birth?</t>
  </si>
  <si>
    <t xml:space="preserve">Age in years; DOB dd/mm/yyyy</t>
  </si>
  <si>
    <t xml:space="preserve">Age of onset context; rule out late-onset vs early-onset conditions</t>
  </si>
  <si>
    <t xml:space="preserve">Sex / Gender</t>
  </si>
  <si>
    <t xml:space="preserve">Could you tell me your gender identity?</t>
  </si>
  <si>
    <t xml:space="preserve">Male / Female / Transgender / Non-binary / Prefer not to say</t>
  </si>
  <si>
    <t xml:space="preserve">Prevalence differences: MDD 2x higher in females; Bipolar equal sex ratio</t>
  </si>
  <si>
    <t xml:space="preserve">Occupation</t>
  </si>
  <si>
    <t xml:space="preserve">Are you currently working? What do you do for a living? Have you had to stop working recently?</t>
  </si>
  <si>
    <t xml:space="preserve">Employed / Unemployed / Student / Homemaker / Retired; describe role</t>
  </si>
  <si>
    <t xml:space="preserve">Occupational functioning — key criterion for F32/F31 severity; job loss is a major stressor</t>
  </si>
  <si>
    <t xml:space="preserve">Education</t>
  </si>
  <si>
    <t xml:space="preserve">What is the highest level of education you have completed?</t>
  </si>
  <si>
    <t xml:space="preserve">Primary / Secondary / Graduate / Postgraduate / None</t>
  </si>
  <si>
    <t xml:space="preserve">Intellectual baseline; informs cognitive assessment; education protective for dementia</t>
  </si>
  <si>
    <t xml:space="preserve">SES</t>
  </si>
  <si>
    <t xml:space="preserve">Could you tell me a little about your financial situation? Do you own or rent your home? How many people are financially dependent on you?</t>
  </si>
  <si>
    <t xml:space="preserve">Upper / Middle / Lower; housing type; dependents</t>
  </si>
  <si>
    <t xml:space="preserve">SES informs stress burden, treatment access, medication adherence risk</t>
  </si>
  <si>
    <t xml:space="preserve">Address</t>
  </si>
  <si>
    <t xml:space="preserve">Where do you currently live? Have you moved recently?</t>
  </si>
  <si>
    <t xml:space="preserve">City, locality; duration at current address</t>
  </si>
  <si>
    <t xml:space="preserve">Recent relocation = stressor; urban/rural setting affects care access</t>
  </si>
  <si>
    <t xml:space="preserve">Contact</t>
  </si>
  <si>
    <t xml:space="preserve">What is the best number to reach you? Is there an emergency contact we should have?</t>
  </si>
  <si>
    <t xml:space="preserve">Phone; emergency contact name &amp; relation</t>
  </si>
  <si>
    <t xml:space="preserve">Safety planning; follow-up; collateral informant identification</t>
  </si>
  <si>
    <t xml:space="preserve">Informant</t>
  </si>
  <si>
    <t xml:space="preserve">Is there a family member or close friend who accompanied you today or who knows you well? May I speak with them at some point?</t>
  </si>
  <si>
    <t xml:space="preserve">Name; relation; availability; consent obtained</t>
  </si>
  <si>
    <t xml:space="preserve">Collateral history essential for accurate psychiatric history — especially Bipolar, psychosis</t>
  </si>
  <si>
    <t xml:space="preserve">Informant reliability</t>
  </si>
  <si>
    <t xml:space="preserve">How long has your informant known you? Are they aware of your symptoms?</t>
  </si>
  <si>
    <t xml:space="preserve">Years known; proximity of relationship; awareness of illness</t>
  </si>
  <si>
    <t xml:space="preserve">Assess reliability of collateral history; important for F31 hypomania where insight is poor</t>
  </si>
  <si>
    <t xml:space="preserve">SECTION B: CHIEF COMPLAINTS</t>
  </si>
  <si>
    <t xml:space="preserve">Chief Complaint (Open)</t>
  </si>
  <si>
    <t xml:space="preserve">What has brought you here today? Tell me what has been troubling you most.</t>
  </si>
  <si>
    <t xml:space="preserve">Free narrative; record verbatim</t>
  </si>
  <si>
    <t xml:space="preserve">Gateway to diagnosis; depressive complaints often somatic in Indian settings (headache, body ache, tiredness)</t>
  </si>
  <si>
    <t xml:space="preserve">Context (supports HAM-D/BDI framing)</t>
  </si>
  <si>
    <t xml:space="preserve">Duration of main complaint</t>
  </si>
  <si>
    <t xml:space="preserve">How long have you been feeling this way? When did you first notice something was wrong?</t>
  </si>
  <si>
    <t xml:space="preserve">Days / weeks / months / years; specific date if possible</t>
  </si>
  <si>
    <t xml:space="preserve">Duration criterion: ≥2 weeks for MDD (F32); ≥1 week for mania (F30); ≥1 day for panic</t>
  </si>
  <si>
    <t xml:space="preserve">Multiple complaints</t>
  </si>
  <si>
    <t xml:space="preserve">Besides [main complaint], is there anything else that has been bothering you? Can you list everything that has been worrying you?</t>
  </si>
  <si>
    <t xml:space="preserve">List all complaints in order of patient priority</t>
  </si>
  <si>
    <t xml:space="preserve">Multiple somatic complaints suggest somatoform (F45) or masked depression</t>
  </si>
  <si>
    <t xml:space="preserve">Functional impact</t>
  </si>
  <si>
    <t xml:space="preserve">Have these problems affected your ability to work, manage your home, or care for your family?</t>
  </si>
  <si>
    <t xml:space="preserve">Not at all / Mild / Moderate / Severe impairment</t>
  </si>
  <si>
    <t xml:space="preserve">Severity specifier for ICD-10 depressive and anxiety episodes; disability criterion</t>
  </si>
  <si>
    <t xml:space="preserve">Mood complaint</t>
  </si>
  <si>
    <t xml:space="preserve">Have you been feeling sad, low, or empty most of the day, nearly every day?</t>
  </si>
  <si>
    <t xml:space="preserve">Yes / No / Sometimes; duration; daily pattern</t>
  </si>
  <si>
    <t xml:space="preserve">Core criterion A1 for MDD (F32); must be persistent, not just episodic</t>
  </si>
  <si>
    <t xml:space="preserve">Elated mood complaint</t>
  </si>
  <si>
    <t xml:space="preserve">Have there been times, even briefly, when you felt unusually happy, energetic, or on top of the world — more than your normal self?</t>
  </si>
  <si>
    <t xml:space="preserve">Yes / No; duration; triggered or spontaneous</t>
  </si>
  <si>
    <t xml:space="preserve">Screens for manic/hypomanic episode (F30/F31); critical for Bipolar vs MDD differentiation</t>
  </si>
  <si>
    <t xml:space="preserve">Anxiety complaint</t>
  </si>
  <si>
    <t xml:space="preserve">Have you been feeling very anxious, tense, or worried most of the time?</t>
  </si>
  <si>
    <t xml:space="preserve">Yes / No; which situations; constant vs episodic</t>
  </si>
  <si>
    <t xml:space="preserve">Differentiates GAD (F41.1), Panic (F41.0), social phobia (F40.1) from anxiety in depression</t>
  </si>
  <si>
    <t xml:space="preserve">Psychotic complaint screening</t>
  </si>
  <si>
    <t xml:space="preserve">Have you been hearing or seeing things that others around you cannot? Have you had thoughts that feel strange or that others are against you?</t>
  </si>
  <si>
    <t xml:space="preserve">Yes / No; describe; frequency; distress level</t>
  </si>
  <si>
    <t xml:space="preserve">Screens for psychotic features in MDD with psychosis (F32.3), or primary psychosis (F20)</t>
  </si>
  <si>
    <t xml:space="preserve">SECTION C: ONSET AND COURSE</t>
  </si>
  <si>
    <t xml:space="preserve">Onset type</t>
  </si>
  <si>
    <t xml:space="preserve">Did your problems come on suddenly, or did they develop gradually over weeks or months?</t>
  </si>
  <si>
    <t xml:space="preserve">Sudden (&lt; 2 weeks) / Gradual (&gt; 2 weeks) / Insidious (&gt; 6 months)</t>
  </si>
  <si>
    <t xml:space="preserve">Sudden onset: Panic, PTSD, mania; Insidious: Dysthymia (F34.1), GAD; Gradual: MDD, Schizophrenia</t>
  </si>
  <si>
    <t xml:space="preserve">Precipitating event</t>
  </si>
  <si>
    <t xml:space="preserve">Did anything happen in your life just before you started feeling this way — a loss, major change, conflict, or health problem?</t>
  </si>
  <si>
    <t xml:space="preserve">Yes / No; describe event; timing relative to onset</t>
  </si>
  <si>
    <t xml:space="preserve">Life event stress: reactive depression (F43.2); absence of stressor raises index for endogenous MDD or Bipolar</t>
  </si>
  <si>
    <t xml:space="preserve">Course — episodic vs continuous</t>
  </si>
  <si>
    <t xml:space="preserve">Since the problem began, has it been there all the time, or does it come and go in episodes?</t>
  </si>
  <si>
    <t xml:space="preserve">Continuous / Episodic with recovery / Episodic without recovery / Worsening</t>
  </si>
  <si>
    <t xml:space="preserve">Episodic with recovery: classic Bipolar or recurrent MDD; Continuous: Dysthymia, Cyclothymia (F34)</t>
  </si>
  <si>
    <t xml:space="preserve">Episode frequency</t>
  </si>
  <si>
    <t xml:space="preserve">How many distinct episodes of feeling very low (or very high) have you had in your lifetime? How long does each episode typically last?</t>
  </si>
  <si>
    <t xml:space="preserve">Number of episodes; average duration; interval between</t>
  </si>
  <si>
    <t xml:space="preserve">Bipolar cycling pattern; rapid cycling (≥4 episodes/year) in F31.8; episode count informs prognosis</t>
  </si>
  <si>
    <t xml:space="preserve">Worst episode</t>
  </si>
  <si>
    <t xml:space="preserve">When was the worst you ever felt? What was happening at that time?</t>
  </si>
  <si>
    <t xml:space="preserve">Narrative; year; severity; hospitalization</t>
  </si>
  <si>
    <t xml:space="preserve">Lifetime severity mapping; past severity predicts future risk; hospitalization indicates severe episode</t>
  </si>
  <si>
    <t xml:space="preserve">Current episode severity</t>
  </si>
  <si>
    <t xml:space="preserve">Compared to the worst time, where would you say you are now — better, the same, or worse?</t>
  </si>
  <si>
    <t xml:space="preserve">Better / Same / Worse; VAS scale 1–10</t>
  </si>
  <si>
    <t xml:space="preserve">Current severity locates patient on illness trajectory; informs treatment urgency</t>
  </si>
  <si>
    <t xml:space="preserve">Free intervals</t>
  </si>
  <si>
    <t xml:space="preserve">Between episodes, do you return to your normal self completely, or do you feel some residual problems?</t>
  </si>
  <si>
    <t xml:space="preserve">Complete recovery / Partial recovery / No recovery</t>
  </si>
  <si>
    <t xml:space="preserve">Incomplete inter-episode recovery: Bipolar II, recurrent MDD with residual features, Cyclothymia</t>
  </si>
  <si>
    <t xml:space="preserve">Progression</t>
  </si>
  <si>
    <t xml:space="preserve">Would you say your symptoms have been getting better, staying the same, or gradually getting worse over the years?</t>
  </si>
  <si>
    <t xml:space="preserve">Improving / Stable / Deteriorating; rate of change</t>
  </si>
  <si>
    <t xml:space="preserve">Progressive deterioration: concern for schizophrenia (F20), treatment-resistant depression, personality disorder comorbidity</t>
  </si>
  <si>
    <t xml:space="preserve">SECTION D: HISTORY OF PRESENTING ILLNESS — DEPRESSIVE FEATURES</t>
  </si>
  <si>
    <t xml:space="preserve">Depressed mood</t>
  </si>
  <si>
    <t xml:space="preserve">How would you describe your mood over the past two weeks? Have you felt persistently sad, empty, or hopeless?</t>
  </si>
  <si>
    <t xml:space="preserve">Yes / No; duration (days/week); time of day worst</t>
  </si>
  <si>
    <t xml:space="preserve">Core symptom A1 for F32; diurnal variation (worse in morning) suggests melancholia</t>
  </si>
  <si>
    <t xml:space="preserve">HAM-D / BDI (core)</t>
  </si>
  <si>
    <t xml:space="preserve">Anhedonia</t>
  </si>
  <si>
    <t xml:space="preserve">Have you lost interest or pleasure in activities you used to enjoy — hobbies, socializing, work, or sex?</t>
  </si>
  <si>
    <t xml:space="preserve">Yes / No; which activities; partial vs complete loss</t>
  </si>
  <si>
    <t xml:space="preserve">Core symptom A2 (anhedonia); Pervasive anhedonia distinguishes MDD from grief or adjustment disorder</t>
  </si>
  <si>
    <t xml:space="preserve">Anergia / fatigue</t>
  </si>
  <si>
    <t xml:space="preserve">How is your energy level? Do you feel tired or exhausted even without doing much?</t>
  </si>
  <si>
    <t xml:space="preserve">Mild / Moderate / Severe; present at rest or only with effort</t>
  </si>
  <si>
    <t xml:space="preserve">Core symptom A3; reduced energy/fatigue; rules out medical causes (anaemia, hypothyroidism)</t>
  </si>
  <si>
    <t xml:space="preserve">Sleep disturbance</t>
  </si>
  <si>
    <t xml:space="preserve">How has your sleep been? Do you have trouble falling asleep, wake up in the middle of the night, or wake too early and cannot go back to sleep?</t>
  </si>
  <si>
    <t xml:space="preserve">Initial / middle / terminal insomnia; hypersomnia; hours/night</t>
  </si>
  <si>
    <t xml:space="preserve">Terminal insomnia (early morning waking) = melancholic feature; hypersomnia more common in atypical/bipolar depression</t>
  </si>
  <si>
    <t xml:space="preserve">Appetite and weight</t>
  </si>
  <si>
    <t xml:space="preserve">Has your appetite changed? Have you lost or gained weight without trying — how many kilograms over how many weeks?</t>
  </si>
  <si>
    <t xml:space="preserve">Increased / Decreased; kg change; weeks duration</t>
  </si>
  <si>
    <t xml:space="preserve">Weight loss ≥5% in one month = significant; weight gain more common in atypical depression (F32) and bipolar depression</t>
  </si>
  <si>
    <t xml:space="preserve">Concentration</t>
  </si>
  <si>
    <t xml:space="preserve">Have you had trouble concentrating, making decisions, or remembering things? Does your mind feel foggy?</t>
  </si>
  <si>
    <t xml:space="preserve">Mild / Moderate / Severe; specific examples</t>
  </si>
  <si>
    <t xml:space="preserve">Cognitive impairment: important in MDD; also in Bipolar depression; differentiate from ADHD or dementia in elderly</t>
  </si>
  <si>
    <t xml:space="preserve">Psychomotor change</t>
  </si>
  <si>
    <t xml:space="preserve">Have others noticed that you have slowed down — speaking more slowly, moving sluggishly? Or have you been feeling restless, unable to sit still?</t>
  </si>
  <si>
    <t xml:space="preserve">Retardation / Agitation / Both / Neither; observed vs reported</t>
  </si>
  <si>
    <t xml:space="preserve">Psychomotor retardation (melancholic MDD) vs agitation (mixed state in Bipolar, or anxious depression)</t>
  </si>
  <si>
    <t xml:space="preserve">Worthlessness / guilt</t>
  </si>
  <si>
    <t xml:space="preserve">Do you find yourself thinking you are worthless, a burden to others, or feeling guilty about things that happened in the past?</t>
  </si>
  <si>
    <t xml:space="preserve">Yes / No; content of guilt; mood-congruent vs incongruent</t>
  </si>
  <si>
    <t xml:space="preserve">Pathological guilt / worthlessness: MDD criterion; mood-incongruent guilt raises suspicion for psychotic features or OCD</t>
  </si>
  <si>
    <t xml:space="preserve">Suicidal ideation (passive)</t>
  </si>
  <si>
    <t xml:space="preserve">Have you had thoughts that life is not worth living, or wished you were dead?</t>
  </si>
  <si>
    <t xml:space="preserve">Yes / No; frequency; duration; triggers</t>
  </si>
  <si>
    <t xml:space="preserve">Passive SI: present in ~60% of MDD; requires risk stratification; always document</t>
  </si>
  <si>
    <t xml:space="preserve">Suicidal ideation (active)</t>
  </si>
  <si>
    <t xml:space="preserve">Have you had thoughts of harming yourself or ending your life? Have you thought about how you would do it?</t>
  </si>
  <si>
    <t xml:space="preserve">Yes / No; plan / means / intent; timeline</t>
  </si>
  <si>
    <t xml:space="preserve">Active SI with plan = high risk; mandatory to assess means access and protective factors; triggers safety protocol</t>
  </si>
  <si>
    <t xml:space="preserve">Hopelessness</t>
  </si>
  <si>
    <t xml:space="preserve">When you think about the future, how does it feel? Do you feel things will never get better?</t>
  </si>
  <si>
    <t xml:space="preserve">Hopeful / Ambivalent / Hopeless; rated 0–10</t>
  </si>
  <si>
    <t xml:space="preserve">Hopelessness is a stronger predictor of suicide risk than depression severity itself (Beck Hopelessness Scale)</t>
  </si>
  <si>
    <t xml:space="preserve">Diurnal variation</t>
  </si>
  <si>
    <t xml:space="preserve">Is there a particular time of day when you feel worst? Does your mood improve as the day goes on?</t>
  </si>
  <si>
    <t xml:space="preserve">Worst: morning / evening / no pattern; improvement over day: Yes / No</t>
  </si>
  <si>
    <t xml:space="preserve">Morning worsening + afternoon/evening improvement = melancholic subtype (F32.01); important for treatment planning</t>
  </si>
  <si>
    <t xml:space="preserve">Social withdrawal</t>
  </si>
  <si>
    <t xml:space="preserve">Have you been withdrawing from family and friends? Avoiding social situations you used to enjoy?</t>
  </si>
  <si>
    <t xml:space="preserve">Yes / No; extent; patient-initiated vs external</t>
  </si>
  <si>
    <t xml:space="preserve">Social withdrawal: functional marker; also seen in Social Anxiety (F40.1), Schizoid PD — distinguish context</t>
  </si>
  <si>
    <t xml:space="preserve">Crying spells</t>
  </si>
  <si>
    <t xml:space="preserve">Have you been crying more than usual, or feeling like you want to cry but cannot?</t>
  </si>
  <si>
    <t xml:space="preserve">Increased / Decreased / Unable to cry; triggers</t>
  </si>
  <si>
    <t xml:space="preserve">Inability to cry (emotional numbing): severe melancholia; anhedonic depression; also SSRI-related blunting</t>
  </si>
  <si>
    <t xml:space="preserve">Somatic equivalents</t>
  </si>
  <si>
    <t xml:space="preserve">Have you had physical symptoms like headaches, body aches, chest tightness, or stomach problems that doctors cannot find a cause for?</t>
  </si>
  <si>
    <t xml:space="preserve">List symptoms; frequency; duration; medical workup</t>
  </si>
  <si>
    <t xml:space="preserve">Somatic masking common in Indian patients with MDD; rule out Somatoform (F45) vs somatic symptoms of depression</t>
  </si>
  <si>
    <t xml:space="preserve">Atypical features</t>
  </si>
  <si>
    <t xml:space="preserve">Does your mood improve when something nice happens? Do you sleep and eat more than usual? Do you feel heavy in your limbs?</t>
  </si>
  <si>
    <t xml:space="preserve">Mood reactivity: Yes/No; hypersomnia/hyperphagia/leaden paralysis</t>
  </si>
  <si>
    <t xml:space="preserve">Atypical features (F32 with atypical features): mood reactivity + ≥2 of hypersomnia, hyperphagia, leaden paralysis, rejection sensitivity — responds preferentially to MAOIs/SSRIs</t>
  </si>
  <si>
    <t xml:space="preserve">Seasonal pattern</t>
  </si>
  <si>
    <t xml:space="preserve">Do your symptoms tend to get worse at a particular time of year — winter or summer?</t>
  </si>
  <si>
    <t xml:space="preserve">Winter / Summer / Monsoon / No pattern; years of pattern</t>
  </si>
  <si>
    <t xml:space="preserve">Seasonal Affective Disorder (F33 with seasonal pattern); India: post-harvest or winter onset patterns reported</t>
  </si>
  <si>
    <t xml:space="preserve">Dysthymia screening</t>
  </si>
  <si>
    <t xml:space="preserve">Have you felt low for most of the time for at least two years, even if not severely? Is this just 'your normal'?</t>
  </si>
  <si>
    <t xml:space="preserve">Yes / No; duration; severity; perception as baseline</t>
  </si>
  <si>
    <t xml:space="preserve">Dysthymia (F34.1): ≥2 years low-grade depression; distinguish from personality, chronic MDD; 'double depression' if acute episode superimposed</t>
  </si>
  <si>
    <t xml:space="preserve">SECTION E: HISTORY OF PRESENTING ILLNESS — BIPOLAR / MANIC FEATURES</t>
  </si>
  <si>
    <t xml:space="preserve">Elated / expansive mood</t>
  </si>
  <si>
    <t xml:space="preserve">Has there ever been a period, even brief, when you felt unusually happy, elated, or 'high' — much more than the situation called for?</t>
  </si>
  <si>
    <t xml:space="preserve">Yes / No; duration; spontaneous or triggered</t>
  </si>
  <si>
    <t xml:space="preserve">Core criterion for manic episode (F30.1); must persist ≥1 week (or any duration if hospitalized)</t>
  </si>
  <si>
    <t xml:space="preserve">Bipolar/Mania (out of scope for MDD/HAM-D screening)</t>
  </si>
  <si>
    <t xml:space="preserve">Grandiosity</t>
  </si>
  <si>
    <t xml:space="preserve">During that time, did you feel that you had special powers, special importance, or that you were destined for great things?</t>
  </si>
  <si>
    <t xml:space="preserve">Yes / No; content; degree of conviction</t>
  </si>
  <si>
    <t xml:space="preserve">Grandiose delusions: F30.2 severe mania with psychotic symptoms; overvalued ideas: F30.1 moderate mania</t>
  </si>
  <si>
    <t xml:space="preserve">Decreased need for sleep</t>
  </si>
  <si>
    <t xml:space="preserve">Have there been times when you slept only 2–3 hours yet felt fully rested and energetic the next day?</t>
  </si>
  <si>
    <t xml:space="preserve">Hours of sleep; felt rested: Yes/No; duration of episode</t>
  </si>
  <si>
    <t xml:space="preserve">Decreased need for sleep (not insomnia) is a highly specific marker for mania/hypomania; insomnia more typical of MDD</t>
  </si>
  <si>
    <t xml:space="preserve">Increased talkativeness</t>
  </si>
  <si>
    <t xml:space="preserve">Have people told you that you were talking too much, too fast, or that they could not keep up with you?</t>
  </si>
  <si>
    <t xml:space="preserve">Yes / No; observed by others; duration</t>
  </si>
  <si>
    <t xml:space="preserve">Pressure of speech / logorrhea: formal sign of mania; elicitable in MSE; also seen in anxiety states</t>
  </si>
  <si>
    <t xml:space="preserve">Racing thoughts / flight of ideas</t>
  </si>
  <si>
    <t xml:space="preserve">Have you experienced thoughts coming so fast that you could not keep up with them, or jumping from one topic to another rapidly?</t>
  </si>
  <si>
    <t xml:space="preserve">Yes / No; subjective vs observer-reported; distressing</t>
  </si>
  <si>
    <t xml:space="preserve">Flight of ideas (Bipolar) vs thought broadcast/insertion (Schizophrenia) — important differential</t>
  </si>
  <si>
    <t xml:space="preserve">Distractibility</t>
  </si>
  <si>
    <t xml:space="preserve">During that high period, were you easily distracted — unable to focus on one thing because everything caught your attention?</t>
  </si>
  <si>
    <t xml:space="preserve">Yes / No; impact on tasks; ability to filter stimuli</t>
  </si>
  <si>
    <t xml:space="preserve">Distractibility in mania is internally driven (hypersensitivity to stimuli); differentiate from ADHD (lifelong, not episodic)</t>
  </si>
  <si>
    <t xml:space="preserve">Goal-directed activity / psychomotor agitation</t>
  </si>
  <si>
    <t xml:space="preserve">Were you unusually productive, starting multiple projects, feeling driven, unable to sit still?</t>
  </si>
  <si>
    <t xml:space="preserve">Yes / No; describe activities; completed vs incomplete</t>
  </si>
  <si>
    <t xml:space="preserve">Increased goal-directed activity: Bipolar I; multiple unfinished projects classic; also rule out stimulant use</t>
  </si>
  <si>
    <t xml:space="preserve">Reckless behaviour</t>
  </si>
  <si>
    <t xml:space="preserve">During those high periods, did you engage in behaviours that were risky or unlike your normal self — spending sprees, sexual behaviour, substance use, reckless driving?</t>
  </si>
  <si>
    <t xml:space="preserve">Type of behaviour; financial/legal/relationship consequences</t>
  </si>
  <si>
    <t xml:space="preserve">Reckless behaviour with consequences: Bipolar I vs II; important for severity grading; may be presenting complaint of family</t>
  </si>
  <si>
    <t xml:space="preserve">Irritable mania</t>
  </si>
  <si>
    <t xml:space="preserve">Have there been periods when you were extremely irritable — snapping at people, having low frustration tolerance, getting into conflicts?</t>
  </si>
  <si>
    <t xml:space="preserve">Yes / No; duration; triggers; assaultive behaviour</t>
  </si>
  <si>
    <t xml:space="preserve">Irritable (rather than euphoric) mania: more common in Indian populations; mixed states (F31.6); angry mania mimics Borderline PD</t>
  </si>
  <si>
    <t xml:space="preserve">Hypomanic episodes</t>
  </si>
  <si>
    <t xml:space="preserve">Have you ever had shorter periods — days rather than weeks — when you felt particularly energetic, needed less sleep, and were more productive than usual, without it going as far as losing control?</t>
  </si>
  <si>
    <t xml:space="preserve">Yes / No; duration (days); functional impact (impaired or enhanced)</t>
  </si>
  <si>
    <t xml:space="preserve">Hypomania (F30.0): duration ≥4 days, no psychotic features, no hospitalization, not severe — key for Bipolar II (F31.8)</t>
  </si>
  <si>
    <t xml:space="preserve">Mixed state features</t>
  </si>
  <si>
    <t xml:space="preserve">Have you ever felt both depressed and agitated, or had racing thoughts while feeling hopeless at the same time?</t>
  </si>
  <si>
    <t xml:space="preserve">Yes / No; duration; predominant polarity</t>
  </si>
  <si>
    <t xml:space="preserve">Mixed episode (F31.6): highly suicide-risk period; often misdiagnosed as agitated MDD; antidepressant monotherapy can destabilize</t>
  </si>
  <si>
    <t xml:space="preserve">Risk/Safety (critical - required regardless of scale mapping)</t>
  </si>
  <si>
    <t xml:space="preserve">Cyclothymia screening</t>
  </si>
  <si>
    <t xml:space="preserve">For as long as you can remember, have you had frequent mood swings — periods of feeling energetic and optimistic alternating with periods of low mood — but never extreme enough to be 'episodes'?</t>
  </si>
  <si>
    <t xml:space="preserve">Yes / No; years duration; stability of pattern</t>
  </si>
  <si>
    <t xml:space="preserve">Cyclothymia (F34.0): ≥2 years of hypomanic + depressive periods below threshold; precursor to Bipolar Spectrum</t>
  </si>
  <si>
    <t xml:space="preserve">Bipolar family history probe</t>
  </si>
  <si>
    <t xml:space="preserve">Has anyone in your immediate family been diagnosed with bipolar disorder, or had periods of abnormal highs — hospitalizations for mood, or similar symptoms?</t>
  </si>
  <si>
    <t xml:space="preserve">Yes / No; relation; diagnosis if known</t>
  </si>
  <si>
    <t xml:space="preserve">Positive family history increases Bipolar probability by 5–10x; critical in young patients with atypical depression</t>
  </si>
  <si>
    <t xml:space="preserve">Antidepressant-induced hypomania</t>
  </si>
  <si>
    <t xml:space="preserve">Have you ever been started on an antidepressant and then suddenly felt too good — racing, not sleeping, impulsive?</t>
  </si>
  <si>
    <t xml:space="preserve">Yes / No; which medication; timeline; resolution with dose reduction</t>
  </si>
  <si>
    <t xml:space="preserve">Antidepressant-induced hypomania/mania: suggests Bipolar diathesis; reclassifies to Bipolar spectrum in DSM-5 Note</t>
  </si>
  <si>
    <t xml:space="preserve">SECTION F: ANXIETY, OCD, AND STRESS-RELATED FEATURES</t>
  </si>
  <si>
    <t xml:space="preserve">Generalized anxiety</t>
  </si>
  <si>
    <t xml:space="preserve">Do you find yourself worrying excessively about many different things — health, family, finances, the future — even when there is no specific reason to worry?</t>
  </si>
  <si>
    <t xml:space="preserve">Yes / No; topics; controllability; duration ≥6 months</t>
  </si>
  <si>
    <t xml:space="preserve">GAD (F41.1): excessive, uncontrollable worry ≥6 months + ≥3 somatic symptoms (muscle tension, irritability, sleep, fatigue)</t>
  </si>
  <si>
    <t xml:space="preserve">HAM-A (core)</t>
  </si>
  <si>
    <t xml:space="preserve">Panic attacks</t>
  </si>
  <si>
    <t xml:space="preserve">Have you ever had sudden episodes of intense fear or discomfort — heart racing, sweating, shaking, shortness of breath — that came on without warning and peaked within minutes?</t>
  </si>
  <si>
    <t xml:space="preserve">Yes / No; frequency; cued vs uncued; functional avoidance</t>
  </si>
  <si>
    <t xml:space="preserve">Panic Disorder (F41.0): recurrent unexpected panic attacks + anticipatory anxiety + behavioural change ≥1 month</t>
  </si>
  <si>
    <t xml:space="preserve">Anticipatory anxiety</t>
  </si>
  <si>
    <t xml:space="preserve">Do you worry between panic attacks about having another one? Have you changed your behaviour to avoid places where you fear an attack might happen?</t>
  </si>
  <si>
    <t xml:space="preserve">Yes / No; avoidance behaviours described; agoraphobia</t>
  </si>
  <si>
    <t xml:space="preserve">Agoraphobia (F40.0) with panic: avoidance of situations where escape difficult; disability disproportionate to panic frequency</t>
  </si>
  <si>
    <t xml:space="preserve">Social anxiety</t>
  </si>
  <si>
    <t xml:space="preserve">Do you feel very anxious in social situations — when you have to speak in public, meet strangers, or be observed while eating or writing?</t>
  </si>
  <si>
    <t xml:space="preserve">Yes / No; which situations; fear (embarrassment/humiliation); avoidance</t>
  </si>
  <si>
    <t xml:space="preserve">Social Anxiety Disorder (F40.1): fear of scrutiny, embarrassment, humiliation; avoidance of social situations</t>
  </si>
  <si>
    <t xml:space="preserve">Specific phobia</t>
  </si>
  <si>
    <t xml:space="preserve">Are there specific objects or situations — animals, heights, blood, enclosed spaces, flying — that cause extreme fear out of proportion to the actual danger?</t>
  </si>
  <si>
    <t xml:space="preserve">Yes / No; describe feared object; avoidance; interference</t>
  </si>
  <si>
    <t xml:space="preserve">Specific Phobia (F40.2): situational, animal, blood-injection-injury types; ICD-10 requires marked fear + avoidance</t>
  </si>
  <si>
    <t xml:space="preserve">OCD — obsessions</t>
  </si>
  <si>
    <t xml:space="preserve">Do you have unwanted, intrusive thoughts, images, or urges that enter your mind repeatedly and feel disgusting, blasphemous, or frightening — even though you know they are irrational?</t>
  </si>
  <si>
    <t xml:space="preserve">Yes / No; content (contamination/harm/religious/symmetry); ego-dystonic vs syntonic</t>
  </si>
  <si>
    <t xml:space="preserve">OCD (F42): obsessions are ego-dystonic, intrusive, causing distress; distinguish from rumination in depression (ego-syntonic)</t>
  </si>
  <si>
    <t xml:space="preserve">OCD — compulsions</t>
  </si>
  <si>
    <t xml:space="preserve">Do you perform repetitive actions — washing, checking, counting, arranging, praying — to neutralize or reduce the anxiety caused by those thoughts?</t>
  </si>
  <si>
    <t xml:space="preserve">Yes / No; type; time consumed daily (hours); resistance possible</t>
  </si>
  <si>
    <t xml:space="preserve">Compulsions (F42): performed to reduce obsessional anxiety, temporarily; ≥1 hour/day = clinically significant; assess Y-BOCS</t>
  </si>
  <si>
    <t xml:space="preserve">Trauma history</t>
  </si>
  <si>
    <t xml:space="preserve">Have you ever experienced a very frightening or traumatic event — an accident, assault, disaster, death of a loved one, or abuse?</t>
  </si>
  <si>
    <t xml:space="preserve">Yes / No; type of event; time since; disclosure comfort</t>
  </si>
  <si>
    <t xml:space="preserve">PTSD (F43.1): requires criterion A trauma; screen sensitively; do not press for details in first session</t>
  </si>
  <si>
    <t xml:space="preserve">PTSD re-experiencing</t>
  </si>
  <si>
    <t xml:space="preserve">After that event, do you have flashbacks, nightmares, or vivid memories that feel as though the event is happening again?</t>
  </si>
  <si>
    <t xml:space="preserve">Yes / No; frequency; triggers; dissociative elements</t>
  </si>
  <si>
    <t xml:space="preserve">Re-experiencing cluster (PTSD F43.1): intrusive memories, flashbacks, nightmares; hallmark feature distinguishing from grief</t>
  </si>
  <si>
    <t xml:space="preserve">PTSD avoidance / numbing</t>
  </si>
  <si>
    <t xml:space="preserve">Do you avoid anything that reminds you of what happened — places, people, conversations? Do you feel emotionally numb or detached from others?</t>
  </si>
  <si>
    <t xml:space="preserve">Yes / No; specific avoidances; emotional blunting</t>
  </si>
  <si>
    <t xml:space="preserve">Avoidance + numbing cluster: PTSD; must distinguish from depression-related avoidance and Schizoid withdrawal</t>
  </si>
  <si>
    <t xml:space="preserve">PTSD hyperarousal</t>
  </si>
  <si>
    <t xml:space="preserve">Since the event, do you startle easily, feel constantly on guard, have difficulty sleeping, or feel irritable and angry?</t>
  </si>
  <si>
    <t xml:space="preserve">Yes / No; sleep; startle; hypervigilance; anger outbursts</t>
  </si>
  <si>
    <t xml:space="preserve">Hyperarousal cluster (PTSD): autonomic dysregulation; overlap with GAD — requires trauma context for PTSD diagnosis</t>
  </si>
  <si>
    <t xml:space="preserve">Acute stress / adjustment disorder</t>
  </si>
  <si>
    <t xml:space="preserve">Did the problems start within days of a major stressor (job loss, bereavement, relationship breakdown)? Did you feel overwhelmed in the immediate aftermath?</t>
  </si>
  <si>
    <t xml:space="preserve">Yes / No; time from stressor to onset; stressor type</t>
  </si>
  <si>
    <t xml:space="preserve">Adjustment Disorder (F43.2): onset within 1 month of stressor; subsides within 6 months after stressor resolved</t>
  </si>
  <si>
    <t xml:space="preserve">Health anxiety / illness fear</t>
  </si>
  <si>
    <t xml:space="preserve">Are you excessively worried that you have a serious physical illness, even after doctors have reassured you that you are fine?</t>
  </si>
  <si>
    <t xml:space="preserve">Yes / No; body focus; reassurance-seeking; doctor shopping</t>
  </si>
  <si>
    <t xml:space="preserve">Hypochondriasis (F45.2): fear of disease based on misinterpretation of symptoms; reassurance provides only temporary relief</t>
  </si>
  <si>
    <t xml:space="preserve">Body-focused anxiety</t>
  </si>
  <si>
    <t xml:space="preserve">Do you spend a lot of time worrying about a specific part of your body — that it looks abnormal or ugly — even though others tell you it looks fine?</t>
  </si>
  <si>
    <t xml:space="preserve">Yes / No; body part; time occupied; avoidance/camouflaging</t>
  </si>
  <si>
    <t xml:space="preserve">Body Dysmorphic Disorder (F45.2/BDD): OCD-spectrum; high suicide risk; distinguish from eating disorder body image concerns</t>
  </si>
  <si>
    <t xml:space="preserve">SECTION G: PSYCHOSIS SCREENING</t>
  </si>
  <si>
    <t xml:space="preserve">Auditory hallucinations</t>
  </si>
  <si>
    <t xml:space="preserve">Have you heard voices when no one was there — or sounds that others could not hear? Were they coming from outside your head or inside?</t>
  </si>
  <si>
    <t xml:space="preserve">Yes / No; voices vs sounds; internal vs external; content; commands</t>
  </si>
  <si>
    <t xml:space="preserve">Auditory hallucinations: third-person running commentary and command hallucinations are highly specific for Schizophrenia (F20)</t>
  </si>
  <si>
    <t xml:space="preserve">Psychosis (out of scope for MDD/HAM-D screening)</t>
  </si>
  <si>
    <t xml:space="preserve">Visual hallucinations</t>
  </si>
  <si>
    <t xml:space="preserve">Have you seen things or people that others around you could not see?</t>
  </si>
  <si>
    <t xml:space="preserve">Yes / No; formed vs unformed; context (drug use, medical illness)</t>
  </si>
  <si>
    <t xml:space="preserve">Visual hallucinations: more common in organic conditions (F06), substance-induced (F10–F19), delirium than in primary psychosis</t>
  </si>
  <si>
    <t xml:space="preserve">Delusions — persecutory</t>
  </si>
  <si>
    <t xml:space="preserve">Do you feel that certain people or groups are trying to harm you, follow you, spy on you, or plot against you?</t>
  </si>
  <si>
    <t xml:space="preserve">Yes / No; content; systematized; cultural context; conviction</t>
  </si>
  <si>
    <t xml:space="preserve">Persecutory delusions: most common delusion type; present in Paranoid Schizophrenia (F20.0), Delusional Disorder (F22), Bipolar mania</t>
  </si>
  <si>
    <t xml:space="preserve">Delusions — referential</t>
  </si>
  <si>
    <t xml:space="preserve">Do you feel that events on television, in newspapers, or the behaviour of strangers have a special message meant specifically for you?</t>
  </si>
  <si>
    <t xml:space="preserve">Yes / No; content; examples; degree of certainty</t>
  </si>
  <si>
    <t xml:space="preserve">Ideas/delusions of reference: distinguish from cultural or religious interpretation; referential thinking on a spectrum</t>
  </si>
  <si>
    <t xml:space="preserve">Delusions — grandiose</t>
  </si>
  <si>
    <t xml:space="preserve">Do you believe you have a special mission, special powers, or that you are a famous person or divine being?</t>
  </si>
  <si>
    <t xml:space="preserve">Yes / No; content; mood-congruent vs incongruent</t>
  </si>
  <si>
    <t xml:space="preserve">Grandiose delusions: mood-congruent in mania (F30.2); mood-incongruent or bizarre = more suggestive of Schizophrenia</t>
  </si>
  <si>
    <t xml:space="preserve">Thought broadcasting / insertion / withdrawal</t>
  </si>
  <si>
    <t xml:space="preserve">Do you feel your thoughts are being broadcast to others, or that thoughts are being put into your head by someone else, or that your thoughts are being taken away?</t>
  </si>
  <si>
    <t xml:space="preserve">Yes / No; which type; degree of distress</t>
  </si>
  <si>
    <t xml:space="preserve">Schneider's first-rank symptoms: thought insertion, withdrawal, broadcasting — highly characteristic of Schizophrenia (F20) when present</t>
  </si>
  <si>
    <t xml:space="preserve">Passivity phenomena</t>
  </si>
  <si>
    <t xml:space="preserve">Do you feel that your actions, feelings, or impulses are being controlled by an external force — as if you are a puppet or robot?</t>
  </si>
  <si>
    <t xml:space="preserve">Yes / No; content; type (somatic passivity, made actions)</t>
  </si>
  <si>
    <t xml:space="preserve">Passivity phenomena: Schneider FRS for Schizophrenia; important to distinguish from PTSD depersonalization and dissociation</t>
  </si>
  <si>
    <t xml:space="preserve">Formal thought disorder</t>
  </si>
  <si>
    <t xml:space="preserve">Do others find it difficult to follow what you are saying? Do your thoughts feel mixed up or disconnected?</t>
  </si>
  <si>
    <t xml:space="preserve">Yes / No; observer report; coherence in interview</t>
  </si>
  <si>
    <t xml:space="preserve">Formal thought disorder (F20): loosening of associations, tangentiality, neologisms, word salad — formally assessed in MSE</t>
  </si>
  <si>
    <t xml:space="preserve">Negative symptoms</t>
  </si>
  <si>
    <t xml:space="preserve">Have you felt emotionally flat, unable to feel much? Have you lost motivation to do even basic daily activities? Have you been speaking less?</t>
  </si>
  <si>
    <t xml:space="preserve">Flat affect / Alogia / Avolition / Anhedonia / Asociality; severity</t>
  </si>
  <si>
    <t xml:space="preserve">Negative symptoms (F20): primary (disease-specific) vs secondary (from medication, depression); assess with PANSS or BNSS</t>
  </si>
  <si>
    <t xml:space="preserve">Insight into psychosis</t>
  </si>
  <si>
    <t xml:space="preserve">Do you believe that what you are experiencing — the voices, the beliefs — might be part of a mental health problem? Could there be another explanation for what you experience?</t>
  </si>
  <si>
    <t xml:space="preserve">Full / Partial / No insight; willingness to consider illness explanation</t>
  </si>
  <si>
    <t xml:space="preserve">Insight is a key prognostic factor in psychosis; also determines consent capacity; important for treatment adherence planning</t>
  </si>
  <si>
    <t xml:space="preserve">Functioning in psychosis</t>
  </si>
  <si>
    <t xml:space="preserve">Despite these experiences, are you able to work, care for yourself, and maintain relationships? Or have these experiences significantly disrupted your life?</t>
  </si>
  <si>
    <t xml:space="preserve">Global functioning; ADL; occupational; social impairment level</t>
  </si>
  <si>
    <t xml:space="preserve">Functioning decline distinguishes Schizophrenia from Delusional Disorder (F22); Schizophrenia requires ≥6 months deterioration</t>
  </si>
  <si>
    <t xml:space="preserve">Duration of psychosis</t>
  </si>
  <si>
    <t xml:space="preserve">How long have these experiences been going on? Was there a brief period of them or have they been there for many months?</t>
  </si>
  <si>
    <t xml:space="preserve">Days / weeks / months; first episode vs recurrent</t>
  </si>
  <si>
    <t xml:space="preserve">Brief Psychotic Disorder (F23): &lt;1 month; Schizophreniform: 1–6 months; Schizophrenia (F20): ≥6 months</t>
  </si>
  <si>
    <t xml:space="preserve">SECTION H: SUBSTANCE USE HISTORY</t>
  </si>
  <si>
    <t xml:space="preserve">Alcohol use</t>
  </si>
  <si>
    <t xml:space="preserve">Do you drink alcohol? How much do you typically drink in a week? Have you ever felt you needed to cut down?</t>
  </si>
  <si>
    <t xml:space="preserve">Units/week; CAGE score; tolerance; withdrawal features</t>
  </si>
  <si>
    <t xml:space="preserve">Alcohol Use Disorder (F10): harmful use, dependence; alcohol mimics/masks MDD; withdrawal = medical emergency</t>
  </si>
  <si>
    <t xml:space="preserve">Substance Use (out of scope, confounder to note)</t>
  </si>
  <si>
    <t xml:space="preserve">Tobacco use</t>
  </si>
  <si>
    <t xml:space="preserve">Do you smoke or use tobacco in any form? How many cigarettes/bidis per day? For how long?</t>
  </si>
  <si>
    <t xml:space="preserve">Type; quantity; pack-years; quit attempts</t>
  </si>
  <si>
    <t xml:space="preserve">Nicotine dependence (F17); smoking associated with depression; nicotine withdrawal mimics anxiety; metabolic effects on psychotropics</t>
  </si>
  <si>
    <t xml:space="preserve">Cannabis use</t>
  </si>
  <si>
    <t xml:space="preserve">Have you ever used cannabis — ganja, charas, bhang? How often? Are you currently using it?</t>
  </si>
  <si>
    <t xml:space="preserve">Frequency; form; age of first use; cannabis psychosis screen</t>
  </si>
  <si>
    <t xml:space="preserve">Cannabis use disorder (F12); cannabis-induced psychotic disorder; heavy use precipitates psychosis in vulnerable individuals</t>
  </si>
  <si>
    <t xml:space="preserve">Opioid use</t>
  </si>
  <si>
    <t xml:space="preserve">Have you ever used opioids — pain medications, heroin, smack, codeine syrups? Are you using anything currently for pain that you cannot stop?</t>
  </si>
  <si>
    <t xml:space="preserve">Type; route; frequency; dependence features; overdose history</t>
  </si>
  <si>
    <t xml:space="preserve">Opioid Use Disorder (F11); high in Punjab/J&amp;K corridor; opioid-associated depression; withdrawal mimics psychiatric emergency</t>
  </si>
  <si>
    <t xml:space="preserve">Stimulant / other substance use</t>
  </si>
  <si>
    <t xml:space="preserve">Have you ever used stimulants like amphetamines, cocaine, or prescription medications (like Tramadol, sleeping pills) that were not prescribed to you?</t>
  </si>
  <si>
    <t xml:space="preserve">Substance type; route; pattern; last use</t>
  </si>
  <si>
    <t xml:space="preserve">Stimulant-induced mania (F15); benzodiazepine dependence (F13) common in anxiety patients; screen for polypharmacy misuse</t>
  </si>
  <si>
    <t xml:space="preserve">Substance and psychiatric link</t>
  </si>
  <si>
    <t xml:space="preserve">Did your mood or mental health problems start around the same time as your substance use? Or does your substance use get worse when your mental health deteriorates?</t>
  </si>
  <si>
    <t xml:space="preserve">Timeline comparison; bidirectional relationship exploration</t>
  </si>
  <si>
    <t xml:space="preserve">Distinguishes primary psychiatric disorder vs substance-induced disorder — critical for treatment planning and DSMIV dual diagnosis</t>
  </si>
  <si>
    <t xml:space="preserve">Withdrawal symptoms</t>
  </si>
  <si>
    <t xml:space="preserve">When you have tried to stop [substance], what happens? Do you get shaky, sweat, feel anxious, have seizures, or see things?</t>
  </si>
  <si>
    <t xml:space="preserve">Withdrawal symptoms by type; seizure history; hospitalizations for withdrawal</t>
  </si>
  <si>
    <t xml:space="preserve">Withdrawal syndromes: alcohol (F10.3) — potentially fatal delirium tremens; opioid (F11.3) — intense but rarely fatal</t>
  </si>
  <si>
    <t xml:space="preserve">Impact of substance use</t>
  </si>
  <si>
    <t xml:space="preserve">Has your substance use caused problems at work, in your relationships, legally, or financially? Have you continued using despite these consequences?</t>
  </si>
  <si>
    <t xml:space="preserve">Yes / No; domains affected; continued use despite harm</t>
  </si>
  <si>
    <t xml:space="preserve">Harmful use (F1x.1) vs Dependence (F1x.2): dependence requires ≥3 of 6 criteria; harmful use = damage without dependence</t>
  </si>
  <si>
    <t xml:space="preserve">SECTION I: PAST PSYCHIATRIC AND MEDICAL HISTORY</t>
  </si>
  <si>
    <t xml:space="preserve">Past psychiatric episodes</t>
  </si>
  <si>
    <t xml:space="preserve">Have you ever been seen by a psychiatrist or psychologist before? Have you ever been admitted to a psychiatric facility?</t>
  </si>
  <si>
    <t xml:space="preserve">Yes / No; diagnosis given; hospitalizations; duration of care</t>
  </si>
  <si>
    <t xml:space="preserve">Prior episodes and hospitalization history indicate severity trajectory; past diagnosis informs current diagnosis</t>
  </si>
  <si>
    <t xml:space="preserve">Background/History (contextual, not scale-mapped)</t>
  </si>
  <si>
    <t xml:space="preserve">Past treatment response</t>
  </si>
  <si>
    <t xml:space="preserve">What treatments have you received in the past — medications, therapy, ECT? Did they help? Did you stop them? Why?</t>
  </si>
  <si>
    <t xml:space="preserve">Medications (list); response (good/partial/none); side effects; reasons for stopping</t>
  </si>
  <si>
    <t xml:space="preserve">Treatment history predicts future response; past ECT response suggests melancholic/severe MDD; medication trials guide current choice</t>
  </si>
  <si>
    <t xml:space="preserve">Self-harm history</t>
  </si>
  <si>
    <t xml:space="preserve">Have you ever hurt yourself deliberately in the past — cutting, burning, overdosing — even if not intending to die?</t>
  </si>
  <si>
    <t xml:space="preserve">Yes / No; type; frequency; intention; recency</t>
  </si>
  <si>
    <t xml:space="preserve">Non-suicidal self-injury (NSSI): associated with BPD, depression, PTSD; assess as separate construct from suicidal intent</t>
  </si>
  <si>
    <t xml:space="preserve">Past suicide attempts</t>
  </si>
  <si>
    <t xml:space="preserve">Have you ever tried to end your life? What happened? Did you receive medical treatment afterwards?</t>
  </si>
  <si>
    <t xml:space="preserve">Yes / No; number of attempts; method; lethality; rescue circumstances</t>
  </si>
  <si>
    <t xml:space="preserve">Past attempts are the single strongest predictor of future suicidal death; lethality of method = index of intent</t>
  </si>
  <si>
    <t xml:space="preserve">Medical comorbidities</t>
  </si>
  <si>
    <t xml:space="preserve">Do you have any medical conditions — diabetes, thyroid, heart disease, epilepsy, HIV, autoimmune conditions? Are you on any medications for these?</t>
  </si>
  <si>
    <t xml:space="preserve">Diagnosis list; current medications; treating physician</t>
  </si>
  <si>
    <t xml:space="preserve">Hypothyroidism (mimics MDD), epilepsy (mood disorder comorbidity), diabetes (bidirectional MDD relationship), HIV (CNS involvement)</t>
  </si>
  <si>
    <t xml:space="preserve">Neurological history</t>
  </si>
  <si>
    <t xml:space="preserve">Have you ever had head injuries, seizures, loss of consciousness, or been told you have anything wrong with your brain?</t>
  </si>
  <si>
    <t xml:space="preserve">Yes / No; type; severity; imaging done</t>
  </si>
  <si>
    <t xml:space="preserve">Traumatic Brain Injury: mood, impulse, cognitive consequences; seizure disorders: psychiatric comorbidity; important pre-ECT</t>
  </si>
  <si>
    <t xml:space="preserve">Surgical history</t>
  </si>
  <si>
    <t xml:space="preserve">Have you had any major surgeries? Did your mental health change after any surgery or anaesthesia?</t>
  </si>
  <si>
    <t xml:space="preserve">Type of surgery; year; post-operative psychiatric symptoms</t>
  </si>
  <si>
    <t xml:space="preserve">Post-surgery delirium, post-partum psychiatric disorders, cardiac surgery depression — important contextual history</t>
  </si>
  <si>
    <t xml:space="preserve">Reproductive psychiatric history (females)</t>
  </si>
  <si>
    <t xml:space="preserve">For female patients: Have you had any mood or anxiety problems during or after pregnancy? Did you experience post-partum depression or psychosis?</t>
  </si>
  <si>
    <t xml:space="preserve">Yes / No; episode timing; treatment; outcome</t>
  </si>
  <si>
    <t xml:space="preserve">Post-partum depression (F53.0): up to 15% of deliveries; post-partum psychosis (F53.1): psychiatric emergency; recurrence risk in future pregnancies</t>
  </si>
  <si>
    <t xml:space="preserve">Menstrual-related mood changes</t>
  </si>
  <si>
    <t xml:space="preserve">For female patients: Do your mood symptoms worsen in the week before your period? Do they improve after menstruation begins?</t>
  </si>
  <si>
    <t xml:space="preserve">Yes / No; cycle relationship; symptom types; functional impact</t>
  </si>
  <si>
    <t xml:space="preserve">Premenstrual Dysphoric Disorder (PMDD): ICD-11 coded; important in treatment-resistant depression in premenopausal women</t>
  </si>
  <si>
    <t xml:space="preserve">Medications causing psychiatric symptoms</t>
  </si>
  <si>
    <t xml:space="preserve">Are you currently on any medications — including herbal, over-the-counter — that might affect your mood or mind? (e.g., steroids, contraceptive pills, antihypertensives)</t>
  </si>
  <si>
    <t xml:space="preserve">List all medications; onset relative to psychiatric symptoms</t>
  </si>
  <si>
    <t xml:space="preserve">Steroid-induced mania/psychosis; isotretinoin and depression; beta-blockers and depression; OCP and mood changes — iatrogenic causes</t>
  </si>
  <si>
    <t xml:space="preserve">SECTION J: FAMILY HISTORY</t>
  </si>
  <si>
    <t xml:space="preserve">Family psychiatric illness</t>
  </si>
  <si>
    <t xml:space="preserve">Has anyone in your immediate family — parents, siblings, children — been diagnosed with a mental health condition or treated by a psychiatrist?</t>
  </si>
  <si>
    <t xml:space="preserve">Yes / No; relation; diagnosis; treatment received</t>
  </si>
  <si>
    <t xml:space="preserve">Heritability: Bipolar I (h²~0.75), MDD (h²~0.37), SCZ (h²~0.80); family history changes pre-test probability of diagnosis</t>
  </si>
  <si>
    <t xml:space="preserve">Family suicide history</t>
  </si>
  <si>
    <t xml:space="preserve">Has anyone in your family ever tried to harm themselves or end their life?</t>
  </si>
  <si>
    <t xml:space="preserve">Yes / No; relation; outcome; patient's response to loss</t>
  </si>
  <si>
    <t xml:space="preserve">Family history of suicide: 4–6x increased risk in patient; also a traumatic event — assess grief, PTSD, identification patterns</t>
  </si>
  <si>
    <t xml:space="preserve">Family substance use</t>
  </si>
  <si>
    <t xml:space="preserve">Was there significant alcohol or drug use in the home growing up? Is there a current family member with a substance problem?</t>
  </si>
  <si>
    <t xml:space="preserve">Yes / No; substance type; parent/sibling; home environment</t>
  </si>
  <si>
    <t xml:space="preserve">Family substance use: genetic vulnerability; adverse childhood experience (ACE); attachment disruption; epigenetic transmission</t>
  </si>
  <si>
    <t xml:space="preserve">Family relationship quality</t>
  </si>
  <si>
    <t xml:space="preserve">How would you describe the emotional climate growing up — warm and supportive, or tense and conflicted? Did you feel emotionally safe at home?</t>
  </si>
  <si>
    <t xml:space="preserve">Supportive / Conflicted / Neglectful / Abusive; examples</t>
  </si>
  <si>
    <t xml:space="preserve">Attachment quality and parenting style: key determinant of personality disorder risk, affect regulation, resilience factors</t>
  </si>
  <si>
    <t xml:space="preserve">Parental mental health</t>
  </si>
  <si>
    <t xml:space="preserve">What were your parents like emotionally? Did either of them seem depressed, anxious, or emotionally unstable during your childhood?</t>
  </si>
  <si>
    <t xml:space="preserve">Description of parents; modelling; role in patient's mental health narrative</t>
  </si>
  <si>
    <t xml:space="preserve">Parental psychopathology: both genetic and psychosocial adversity pathway; particularly relevant for BPD, anxiety, and MDD</t>
  </si>
  <si>
    <t xml:space="preserve">Consanguinity</t>
  </si>
  <si>
    <t xml:space="preserve">Are your parents related by blood? What is the family structure (nuclear/joint/extended)?</t>
  </si>
  <si>
    <t xml:space="preserve">Yes / No; degree of relation; family type</t>
  </si>
  <si>
    <t xml:space="preserve">Consanguinity increases risk of recessive genetic disorders; family structure informs caregiving support and relapse prevention plan</t>
  </si>
  <si>
    <t xml:space="preserve">SECTION K: PERSONAL HISTORY</t>
  </si>
  <si>
    <t xml:space="preserve">Birth and early development</t>
  </si>
  <si>
    <t xml:space="preserve">Were there any complications during your birth or early development? Were you told you were a healthy baby? Did you walk and talk at the right ages?</t>
  </si>
  <si>
    <t xml:space="preserve">Birth complications; developmental milestones; temperament as infant</t>
  </si>
  <si>
    <t xml:space="preserve">Perinatal complications: neurodevelopmental risk for SCZ, ADHD, Autism Spectrum; prematurity; early temperament</t>
  </si>
  <si>
    <t xml:space="preserve">Childhood adversity</t>
  </si>
  <si>
    <t xml:space="preserve">Did you experience any difficult or painful events in childhood — illness, loss of a parent, poverty, frequent moves, separation, abuse, or neglect?</t>
  </si>
  <si>
    <t xml:space="preserve">ACE type; age of occurrence; duration; disclosure pattern</t>
  </si>
  <si>
    <t xml:space="preserve">ACEs: cumulative score predicts psychiatric morbidity; sexual abuse: strongest predictor of borderline PD, PTSD, dissociation</t>
  </si>
  <si>
    <t xml:space="preserve">Schooling</t>
  </si>
  <si>
    <t xml:space="preserve">How was your school experience? Did you enjoy school? Were you good at studies? Did you have friends?</t>
  </si>
  <si>
    <t xml:space="preserve">Academic performance; special support needed; attendance; bullying</t>
  </si>
  <si>
    <t xml:space="preserve">Learning difficulties: screen for ADHD, Dyslexia; social difficulties at school: early social anxiety, Autism Spectrum screening</t>
  </si>
  <si>
    <t xml:space="preserve">Peer relationships in childhood</t>
  </si>
  <si>
    <t xml:space="preserve">Did you have friends as a child? Were you popular, or did you tend to be alone? Were you ever bullied?</t>
  </si>
  <si>
    <t xml:space="preserve">Number of friends; social preference; bullying (victim/perpetrator)</t>
  </si>
  <si>
    <t xml:space="preserve">Social isolation: early marker of schizoid/schizotypal PD; early social anxiety; autism spectrum; trauma</t>
  </si>
  <si>
    <t xml:space="preserve">Occupational history</t>
  </si>
  <si>
    <t xml:space="preserve">Walk me through your work history. Have you been able to hold down jobs? Have you lost jobs due to your mental health?</t>
  </si>
  <si>
    <t xml:space="preserve">Number of jobs; duration; reasons for leaving; current employment</t>
  </si>
  <si>
    <t xml:space="preserve">Occupational trajectory: functional disability timeline; frequent job loss suggests Bipolar or personality disorder</t>
  </si>
  <si>
    <t xml:space="preserve">Marital and relationship history</t>
  </si>
  <si>
    <t xml:space="preserve">Are you currently married or in a relationship? How long have you been together? Are things generally stable in the relationship?</t>
  </si>
  <si>
    <t xml:space="preserve">Marital status; duration; quality; conflicts; separations; divorces</t>
  </si>
  <si>
    <t xml:space="preserve">Relationship stability: poor interpersonal relationships → BPD, Bipolar, MDD; marital conflict as stressor and perpetuating factor</t>
  </si>
  <si>
    <t xml:space="preserve">Sexual history</t>
  </si>
  <si>
    <t xml:space="preserve">Have you experienced any sexual problems — loss of desire, difficulties with sexual function? Have you ever had any unwanted sexual experiences?</t>
  </si>
  <si>
    <t xml:space="preserve">Sexual function change; libido; history of sexual trauma (handle sensitively)</t>
  </si>
  <si>
    <t xml:space="preserve">Reduced libido: MDD, hypothyroidism, medication side-effect; sexual trauma: PTSD, BPD, dissociation</t>
  </si>
  <si>
    <t xml:space="preserve">Children and parenting</t>
  </si>
  <si>
    <t xml:space="preserve">Do you have children? How do you manage parenting? Has your mental health affected your ability to care for them?</t>
  </si>
  <si>
    <t xml:space="preserve">Number of children; ages; parenting stress; child welfare concerns</t>
  </si>
  <si>
    <t xml:space="preserve">Parenting capacity: important for risk assessment; post-partum disorders; CPS involvement; impact of illness on children</t>
  </si>
  <si>
    <t xml:space="preserve">Social support network</t>
  </si>
  <si>
    <t xml:space="preserve">Who do you turn to when you are struggling? Do you have close friends or family you can rely on? Do you feel supported?</t>
  </si>
  <si>
    <t xml:space="preserve">Quality and quantity of support; perceived adequacy; isolation</t>
  </si>
  <si>
    <t xml:space="preserve">Social support is the strongest protective factor against suicide and relapse; poor support predicts poor treatment outcomes</t>
  </si>
  <si>
    <t xml:space="preserve">Financial stressors</t>
  </si>
  <si>
    <t xml:space="preserve">Have you had significant financial problems recently — debt, job loss, inability to meet basic needs?</t>
  </si>
  <si>
    <t xml:space="preserve">Yes / No; nature of stressor; chronic vs acute; patient's perception</t>
  </si>
  <si>
    <t xml:space="preserve">Financial stress: precipitant for depressive episodes; chronic financial adversity linked to persistent depressive disorder</t>
  </si>
  <si>
    <t xml:space="preserve">Legal history</t>
  </si>
  <si>
    <t xml:space="preserve">Have you ever been in trouble with the law — been arrested, been in court, spent time in custody?</t>
  </si>
  <si>
    <t xml:space="preserve">Yes / No; nature; outcome; current legal proceedings</t>
  </si>
  <si>
    <t xml:space="preserve">Legal history: substance use disorders; antisocial PD; impulse control disorders; relevant for risk assessment</t>
  </si>
  <si>
    <t xml:space="preserve">Military / migration history</t>
  </si>
  <si>
    <t xml:space="preserve">Have you served in the military or experienced combat? Have you migrated recently — from another country or from a rural area?</t>
  </si>
  <si>
    <t xml:space="preserve">Yes / No; combat exposure; PTSD risk; acculturation stress</t>
  </si>
  <si>
    <t xml:space="preserve">Combat: PTSD risk; migration: acculturation stress, cultural bereavement, higher psychosis risk in migrant populations</t>
  </si>
  <si>
    <t xml:space="preserve">Religious and cultural beliefs</t>
  </si>
  <si>
    <t xml:space="preserve">What role does religion or spirituality play in your life? Are there cultural beliefs that help you make sense of your illness?</t>
  </si>
  <si>
    <t xml:space="preserve">Religion/spirituality role; explanatory model of illness (supernatural vs medical)</t>
  </si>
  <si>
    <t xml:space="preserve">Cultural explanatory models affect treatment engagement, medication acceptance, and help-seeking; important in India</t>
  </si>
  <si>
    <t xml:space="preserve">Sleep history (lifetime)</t>
  </si>
  <si>
    <t xml:space="preserve">Have you always had difficulties with sleep, or is this a new problem? What was your sleep like before the illness started?</t>
  </si>
  <si>
    <t xml:space="preserve">Pre-morbid sleep pattern; change from baseline; circadian type</t>
  </si>
  <si>
    <t xml:space="preserve">Circadian rhythm abnormality: trait marker in Bipolar; delayed sleep phase: common in young MDD; insomnia history predicts MDD onset</t>
  </si>
  <si>
    <t xml:space="preserve">SECTION L: PREMORBID PERSONALITY</t>
  </si>
  <si>
    <t xml:space="preserve">Baseline personality</t>
  </si>
  <si>
    <t xml:space="preserve">Before you became unwell, how would you describe yourself? What kind of person were you — your typical mood, how you related to people, your usual energy?</t>
  </si>
  <si>
    <t xml:space="preserve">Narrative; stable traits; endorsed by informant</t>
  </si>
  <si>
    <t xml:space="preserve">Baseline personality establishes premorbid functioning; deviation = illness; stable trait = personality factor in diagnosis</t>
  </si>
  <si>
    <t xml:space="preserve">Emotional stability</t>
  </si>
  <si>
    <t xml:space="preserve">Generally speaking, do you think of yourself as emotionally stable, or have your moods always tended to be unpredictable and changeable?</t>
  </si>
  <si>
    <t xml:space="preserve">Stable / Mildly labile / Very labile; lifelong pattern</t>
  </si>
  <si>
    <t xml:space="preserve">Emotional lability: trait marker for BPD (F60.3), Cyclothymia (F34.0); distinguish from state-dependent mood lability in Bipolar</t>
  </si>
  <si>
    <t xml:space="preserve">Interpersonal style</t>
  </si>
  <si>
    <t xml:space="preserve">Do you tend to like being around people, or do you prefer being alone? Do you form close relationships easily, or are you generally more reserved and distant?</t>
  </si>
  <si>
    <t xml:space="preserve">Extrovert / Introvert / Avoidant / Mixed; depth of relationships</t>
  </si>
  <si>
    <t xml:space="preserve">Schizoid (F60.1): pervasive detachment; Avoidant (F60.6): inhibited due to fear; Dependent (F60.7): excessive reliance on others</t>
  </si>
  <si>
    <t xml:space="preserve">Emotional regulation</t>
  </si>
  <si>
    <t xml:space="preserve">When you are upset or stressed, how do you usually cope? Do you tend to react intensely and impulsively, or do you tend to withdraw and go quiet?</t>
  </si>
  <si>
    <t xml:space="preserve">Impulsive-explosive / Inhibited-withdrawn / Balanced / Variable</t>
  </si>
  <si>
    <t xml:space="preserve">Impulsive-explosive: Borderline (F60.3), Antisocial (F60.2); Inhibited: Avoidant, Schizoid; over-controlled: Anankastic (F60.5)</t>
  </si>
  <si>
    <t xml:space="preserve">Self-image</t>
  </si>
  <si>
    <t xml:space="preserve">Do you have a stable sense of who you are — your values, identity, and goals — or has this felt unstable and shifting over the years?</t>
  </si>
  <si>
    <t xml:space="preserve">Stable / Unstable; examples of identity shifts; occupational/relational patterns</t>
  </si>
  <si>
    <t xml:space="preserve">Unstable self-image / identity diffusion: pathognomonic of Borderline PD (F60.3); also seen in Dissociative Identity Disorder</t>
  </si>
  <si>
    <t xml:space="preserve">Perfectionism and rigidity</t>
  </si>
  <si>
    <t xml:space="preserve">Are you a perfectionist? Do you have high standards for yourself and others? Do you find it difficult to delegate or let go of control?</t>
  </si>
  <si>
    <t xml:space="preserve">Yes / No; examples; functional impact; distress when imperfect</t>
  </si>
  <si>
    <t xml:space="preserve">Anankastic PD (F60.5/OCPD): perfectionism, rigidity, preoccupation with orderliness; differentiate from OCD (which is ego-dystonic)</t>
  </si>
  <si>
    <t xml:space="preserve">Suspiciousness</t>
  </si>
  <si>
    <t xml:space="preserve">Generally, are you a trusting person, or do you tend to be guarded and suspicious of others' motives, even without clear reason?</t>
  </si>
  <si>
    <t xml:space="preserve">Trusting / Mildly suspicious / Pervasive suspicious; examples</t>
  </si>
  <si>
    <t xml:space="preserve">Paranoid PD (F60.0): pervasive suspiciousness without delusional conviction; schizotypal (F21): odd thinking and suspiciousness</t>
  </si>
  <si>
    <t xml:space="preserve">Dramatic / attention-seeking traits</t>
  </si>
  <si>
    <t xml:space="preserve">Do you tend to be emotionally expressive, dramatic, and to strongly seek the attention and approval of others?</t>
  </si>
  <si>
    <t xml:space="preserve">Yes / No; degree; distress to others; relationship impact</t>
  </si>
  <si>
    <t xml:space="preserve">Histrionic PD (F60.4): dramatic, attention-seeking, labile; Narcissistic PD (F60.8): grandiosity, lack of empathy — both affect treatment alliance</t>
  </si>
  <si>
    <t xml:space="preserve">Rule-breaking and antisocial behaviour</t>
  </si>
  <si>
    <t xml:space="preserve">As a younger person, did you frequently get into trouble, break rules, disregard others' safety, or have difficulties respecting the law?</t>
  </si>
  <si>
    <t xml:space="preserve">Yes / No; childhood conduct problems; age of onset; pervasiveness</t>
  </si>
  <si>
    <t xml:space="preserve">Antisocial PD (F60.2): conduct disorder before age 15 required; adult pattern of exploitation, deceit, impulsivity; criminal history</t>
  </si>
  <si>
    <t xml:space="preserve">Stress tolerance and coping</t>
  </si>
  <si>
    <t xml:space="preserve">When faced with major stress, what usually happens — do you cope well, or do you tend to become overwhelmed, and how does that typically play out?</t>
  </si>
  <si>
    <t xml:space="preserve">Adaptive / Maladaptive; typical coping strategies; regression under stress</t>
  </si>
  <si>
    <t xml:space="preserve">Coping style informs psychotherapy planning; poor stress tolerance + impulsive response: Cluster B; avoidant: Cluster C; odd: Cluster A</t>
  </si>
  <si>
    <t xml:space="preserve">SECTION M: MENTAL STATUS EXAMINATION — MSE QUESTIONS</t>
  </si>
  <si>
    <t xml:space="preserve">Orientation</t>
  </si>
  <si>
    <t xml:space="preserve">What is today's date? What day of the week is it? Where are we right now? Who am I?</t>
  </si>
  <si>
    <t xml:space="preserve">Correct / Incorrect for time, place, person</t>
  </si>
  <si>
    <t xml:space="preserve">Disorientation: organic states, delirium, dementia, dissociation; orientation is ALWAYS intact in functional psychiatric disorders</t>
  </si>
  <si>
    <t xml:space="preserve">MSE (observational, not directly user-answerable via text/audio)</t>
  </si>
  <si>
    <t xml:space="preserve">Attention and concentration</t>
  </si>
  <si>
    <t xml:space="preserve">I would like you to subtract 7 from 100, and keep going. / Can you spell 'WORLD' backwards?</t>
  </si>
  <si>
    <t xml:space="preserve">Number of correct subtractions; time taken; serial 7s score</t>
  </si>
  <si>
    <t xml:space="preserve">Poor concentration: MDD (F32), Bipolar depression, ADHD; severe impairment: delirium, dementia; document formally</t>
  </si>
  <si>
    <t xml:space="preserve">Recent memory</t>
  </si>
  <si>
    <t xml:space="preserve">What did you have for breakfast today? What did we speak about at the beginning of this interview?</t>
  </si>
  <si>
    <t xml:space="preserve">Accurate / Inaccurate; immediate vs delayed recall</t>
  </si>
  <si>
    <t xml:space="preserve">Recent memory impairment: early dementia (F00), severe depression (pseudodementia), severe anxiety, substance-related amnesia</t>
  </si>
  <si>
    <t xml:space="preserve">Remote memory</t>
  </si>
  <si>
    <t xml:space="preserve">Can you tell me the year you finished school? What year did you get married? Can you name 5 Prime Ministers of India?</t>
  </si>
  <si>
    <t xml:space="preserve">Accurate / Inaccurate; year of major life events</t>
  </si>
  <si>
    <t xml:space="preserve">Remote memory relatively preserved in MDD pseudodementia vs early Alzheimer's; severe impairment suggests organic disorder</t>
  </si>
  <si>
    <t xml:space="preserve">Abstract thinking</t>
  </si>
  <si>
    <t xml:space="preserve">What does this proverb mean: 'A stitch in time saves nine'? / 'The grass is always greener on the other side'?</t>
  </si>
  <si>
    <t xml:space="preserve">Abstract / Concrete / Bizarre interpretation</t>
  </si>
  <si>
    <t xml:space="preserve">Concrete thinking: low intelligence, schizophrenia, frontal lobe dysfunction; bizarre interpretations: psychotic process</t>
  </si>
  <si>
    <t xml:space="preserve">Judgment</t>
  </si>
  <si>
    <t xml:space="preserve">If you smelled smoke in a crowded cinema, what would you do?</t>
  </si>
  <si>
    <t xml:space="preserve">Appropriate / Inappropriate response; reasoning quality</t>
  </si>
  <si>
    <t xml:space="preserve">Impaired judgment: mania (reckless decisions), psychosis (driven by delusions), dementia, severe depression</t>
  </si>
  <si>
    <t xml:space="preserve">Insight</t>
  </si>
  <si>
    <t xml:space="preserve">Do you think you are suffering from a mental illness? Do you think you need treatment?</t>
  </si>
  <si>
    <t xml:space="preserve">Full / Partial / Absent insight; treatment willingness</t>
  </si>
  <si>
    <t xml:space="preserve">Insight predicts treatment adherence and prognosis; absent insight: severe mania, schizophrenia; partial: depression; full: anxiety</t>
  </si>
  <si>
    <t xml:space="preserve">Thought content — suicidality in MSE</t>
  </si>
  <si>
    <t xml:space="preserve">Right now, in this moment, are you having any thoughts of harming yourself or ending your life?</t>
  </si>
  <si>
    <t xml:space="preserve">Current SI: Yes/No; intent; plan; means; protective factors</t>
  </si>
  <si>
    <t xml:space="preserve">Formal MSE suicidality documentation: required at every assessment; current SI during interview = immediate risk assessment protocol</t>
  </si>
  <si>
    <t xml:space="preserve">Mood (subjective)</t>
  </si>
  <si>
    <t xml:space="preserve">If you had to describe your mood right now in one word, what would it be? On a scale of 0–10, where 0 is the worst you have ever felt and 10 is the best, where are you today?</t>
  </si>
  <si>
    <t xml:space="preserve">Patient's own word; numeric rating 0–10</t>
  </si>
  <si>
    <t xml:space="preserve">Subjective mood: patient's report; may differ from observed affect; document both separately in MSE</t>
  </si>
  <si>
    <t xml:space="preserve">Affect (objective observation)</t>
  </si>
  <si>
    <t xml:space="preserve">Note: Observe the patient's emotional expression throughout the interview. Is the affect appropriate to the content of conversation?</t>
  </si>
  <si>
    <t xml:space="preserve">Full / Restricted / Blunted / Flat / Labile / Incongruent</t>
  </si>
  <si>
    <t xml:space="preserve">Flat/blunted affect: schizophrenia negative symptoms; labile affect: mania, BPD; incongruent affect: psychotic features; depressed affect: MDD</t>
  </si>
  <si>
    <t xml:space="preserve">Speech quality</t>
  </si>
  <si>
    <t xml:space="preserve">Note: Observe rate, volume, rhythm, and flow of speech throughout the interview.</t>
  </si>
  <si>
    <t xml:space="preserve">Rate (slow/normal/fast/pressured); Volume; Coherence; Spontaneity</t>
  </si>
  <si>
    <t xml:space="preserve">Pressured speech: mania (F30); slowed, monotonous: MDD; poverty of speech: SCZ negative symptoms; mutism: catatonia; dysarthria: organic</t>
  </si>
  <si>
    <t xml:space="preserve">Perception check during MSE</t>
  </si>
  <si>
    <t xml:space="preserve">While we have been talking, have you heard or seen anything unusual? Are there any unusual experiences you are having right now?</t>
  </si>
  <si>
    <t xml:space="preserve">Yes / No; describe; current hallucinations during interview</t>
  </si>
  <si>
    <t xml:space="preserve">Real-time perceptual disturbances during MSE: document verbatim; command hallucinations during interview require immediate safety assessment</t>
  </si>
  <si>
    <t xml:space="preserve">General appearance and behaviour</t>
  </si>
  <si>
    <t xml:space="preserve">Note: Observe patient's appearance, grooming, eye contact, psychomotor activity, and rapport throughout the interview.</t>
  </si>
  <si>
    <t xml:space="preserve">Appearance (groomed/dishevelled); Eye contact (good/poor/avoidant); Psychomotor (retarded/agitated/normal); Rapport</t>
  </si>
  <si>
    <t xml:space="preserve">Poor self-care: severe depression, schizophrenia; dishevelled with agitation: mania or drug intoxication; catatonic posturing: catatonia (F20.2)</t>
  </si>
  <si>
    <t xml:space="preserve">SECTION N: DIFFERENTIAL DIAGNOSIS SYNTHESIS QUESTIONS</t>
  </si>
  <si>
    <t xml:space="preserve">Diagnosis clarification</t>
  </si>
  <si>
    <t xml:space="preserve">Clinician reflection: Based on duration, severity, core symptoms, course, and family history — do the symptoms best fit a mood disorder (unipolar or bipolar), an anxiety disorder, a psychotic disorder, or a combination?</t>
  </si>
  <si>
    <t xml:space="preserve">ICD-10 code selection; primary vs secondary diagnoses; diagnostic hierarchy</t>
  </si>
  <si>
    <t xml:space="preserve">ICD-10 hierarchical principle: organic &gt; psychotic &gt; mood &gt; neurotic; always apply Occam's razor first, then consider comorbidities</t>
  </si>
  <si>
    <t xml:space="preserve">Diagnostic synthesis (clinician-only, not for screening interface)</t>
  </si>
  <si>
    <t xml:space="preserve">Ruling out organic causes</t>
  </si>
  <si>
    <t xml:space="preserve">Have all relevant medical causes been excluded? Thyroid function, glucose, CBC, B12, neuroimaging if indicated?</t>
  </si>
  <si>
    <t xml:space="preserve">Investigation checklist; results; pending workup</t>
  </si>
  <si>
    <t xml:space="preserve">Medical exclusion is mandatory before psychiatric diagnosis; hypothyroidism mimics MDD; autoimmune encephalitis mimics psychosis/mania</t>
  </si>
  <si>
    <t xml:space="preserve">Severity and specifiers</t>
  </si>
  <si>
    <t xml:space="preserve">What is the severity of the current episode — mild, moderate, or severe? Are psychotic features, melancholic features, atypical features, or seasonal patterns present?</t>
  </si>
  <si>
    <t xml:space="preserve">ICD-10 severity code; specifiers; functional GAF score</t>
  </si>
  <si>
    <t xml:space="preserve">Severity determines treatment setting (outpatient vs inpatient), medication intensity, and psychotherapy type</t>
  </si>
  <si>
    <t xml:space="preserve">Risk formulation</t>
  </si>
  <si>
    <t xml:space="preserve">What is the overall suicide and self-harm risk — low, moderate, or high? What are the protective and risk factors? Is a safety plan needed?</t>
  </si>
  <si>
    <t xml:space="preserve">Risk level; protective factors; safety plan documented; crisis contact given</t>
  </si>
  <si>
    <t xml:space="preserve">Risk formulation integrates all data: current SI, past attempts, hopelessness, substance use, access to means, social support</t>
  </si>
  <si>
    <t xml:space="preserve">Treatment formulation and ICD-10 diagnosis</t>
  </si>
  <si>
    <t xml:space="preserve">What is the final ICD-10 diagnosis? What is the proposed treatment plan — pharmacological, psychological, social, and family interventions? What is the follow-up plan?</t>
  </si>
  <si>
    <t xml:space="preserve">ICD-10 code; medication; therapy; psychosocial; review date</t>
  </si>
  <si>
    <t xml:space="preserve">Biopsychosocial formulation: integrates predisposing (genetic, developmental), precipitating (stressors), and perpetuating (maintaining) factors for each patient</t>
  </si>
  <si>
    <t xml:space="preserve"># Questions</t>
  </si>
  <si>
    <t xml:space="preserve">Primary Screening Relevance</t>
  </si>
  <si>
    <t xml:space="preserve">TOTAL</t>
  </si>
  <si>
    <t xml:space="preserve">Notes</t>
  </si>
  <si>
    <t xml:space="preserve">Primary pool for the 30-question screening set. Directly maps to depressive symptom items.</t>
  </si>
  <si>
    <t xml:space="preserve">Include if HAM-A screening is in scope for this version; otherwise secondary pool.</t>
  </si>
  <si>
    <t xml:space="preserve">Chief complaint + onset/course — useful framing questions, not scale items themselves.</t>
  </si>
  <si>
    <t xml:space="preserve">Must be included in the final 30 regardless of scale mapping — safety-critical.</t>
  </si>
  <si>
    <t xml:space="preserve">Exclude from the 30 unless bipolar screening is explicitly added to scope.</t>
  </si>
  <si>
    <t xml:space="preserve">Exclude from the 30 for this MDD-focused tool.</t>
  </si>
  <si>
    <t xml:space="preserve">Exclude from the 30, but worth 1-2 screening questions as a confounder check.</t>
  </si>
  <si>
    <t xml:space="preserve">Requires clinician observation, not a self-report text/audio answer. Exclude from user-facing set.</t>
  </si>
  <si>
    <t xml:space="preserve">Clinician-only reasoning items - not asked to the patient. Exclude from the 30.</t>
  </si>
  <si>
    <t xml:space="preserve">Useful clinical background but not scale-mapped; exclude from the 30 unless needed for report context.</t>
  </si>
  <si>
    <t xml:space="preserve">Useful for session setup, not screening itself; keep minimal (name/age/sex) outside the 30 count.</t>
  </si>
  <si>
    <t xml:space="preserve">Select for Final 30? (Y/N)</t>
  </si>
  <si>
    <t xml:space="preserve">Candidate pool size: 55 questions (from an eligible pool of 55). Narrow this down to 30 by marking Y in the last column.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</si>
</sst>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C8A"/>
        <bgColor rgb="FF6666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E2D4F0"/>
      </patternFill>
    </fill>
    <fill>
      <patternFill patternType="solid">
        <fgColor rgb="FFF8CBAD"/>
        <bgColor rgb="FFD9D9D9"/>
      </patternFill>
    </fill>
    <fill>
      <patternFill patternType="solid">
        <fgColor rgb="FFBDD7EE"/>
        <bgColor rgb="FFCCCCCC"/>
      </patternFill>
    </fill>
    <fill>
      <patternFill patternType="solid">
        <fgColor rgb="FFE2D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5C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D4F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0B4"/>
      <rgbColor rgb="FFFFFF99"/>
      <rgbColor rgb="FFE2D4F0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llQuestions" displayName="AllQuestions" ref="A1:H151" headerRowCount="1" totalsRowCount="0" totalsRowShown="0">
  <autoFilter ref="A1:H151"/>
  <tableColumns count="8">
    <tableColumn id="1" name="#"/>
    <tableColumn id="2" name="Section"/>
    <tableColumn id="3" name="Domain"/>
    <tableColumn id="4" name="Interview Question"/>
    <tableColumn id="5" name="Response Format"/>
    <tableColumn id="6" name="Clinical Relevance / ICD-10 Mapping"/>
    <tableColumn id="7" name="Screening Relevance Tag"/>
    <tableColumn id="8" name="Include in Final 30? (fill in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5"/>
    <col collapsed="false" customWidth="true" hidden="false" outlineLevel="0" max="5" min="5" style="0" width="30"/>
    <col collapsed="false" customWidth="true" hidden="false" outlineLevel="0" max="6" min="6" style="0" width="45"/>
    <col collapsed="false" customWidth="true" hidden="false" outlineLevel="0" max="7" min="7" style="0" width="32"/>
    <col collapsed="false" customWidth="true" hidden="false" outlineLevel="0" max="8" min="8" style="0" width="2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2"/>
    </row>
    <row r="3" customFormat="false" ht="23.85" hidden="false" customHeight="false" outlineLevel="0" collapsed="false">
      <c r="A3" s="2" t="n">
        <v>2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3" t="s">
        <v>13</v>
      </c>
      <c r="H3" s="2"/>
    </row>
    <row r="4" customFormat="false" ht="23.85" hidden="false" customHeight="false" outlineLevel="0" collapsed="false">
      <c r="A4" s="2" t="n">
        <v>3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21</v>
      </c>
      <c r="G4" s="3" t="s">
        <v>13</v>
      </c>
      <c r="H4" s="2"/>
    </row>
    <row r="5" customFormat="false" ht="23.85" hidden="false" customHeight="false" outlineLevel="0" collapsed="false">
      <c r="A5" s="2" t="n">
        <v>4</v>
      </c>
      <c r="B5" s="2" t="s">
        <v>8</v>
      </c>
      <c r="C5" s="2" t="s">
        <v>22</v>
      </c>
      <c r="D5" s="2" t="s">
        <v>23</v>
      </c>
      <c r="E5" s="2" t="s">
        <v>24</v>
      </c>
      <c r="F5" s="2" t="s">
        <v>25</v>
      </c>
      <c r="G5" s="3" t="s">
        <v>13</v>
      </c>
      <c r="H5" s="2"/>
    </row>
    <row r="6" customFormat="false" ht="23.85" hidden="false" customHeight="false" outlineLevel="0" collapsed="false">
      <c r="A6" s="2" t="n">
        <v>5</v>
      </c>
      <c r="B6" s="2" t="s">
        <v>8</v>
      </c>
      <c r="C6" s="2" t="s">
        <v>26</v>
      </c>
      <c r="D6" s="2" t="s">
        <v>27</v>
      </c>
      <c r="E6" s="2" t="s">
        <v>28</v>
      </c>
      <c r="F6" s="2" t="s">
        <v>29</v>
      </c>
      <c r="G6" s="3" t="s">
        <v>13</v>
      </c>
      <c r="H6" s="2"/>
    </row>
    <row r="7" customFormat="false" ht="35.05" hidden="false" customHeight="false" outlineLevel="0" collapsed="false">
      <c r="A7" s="2" t="n">
        <v>6</v>
      </c>
      <c r="B7" s="2" t="s">
        <v>8</v>
      </c>
      <c r="C7" s="2" t="s">
        <v>30</v>
      </c>
      <c r="D7" s="2" t="s">
        <v>31</v>
      </c>
      <c r="E7" s="2" t="s">
        <v>32</v>
      </c>
      <c r="F7" s="2" t="s">
        <v>33</v>
      </c>
      <c r="G7" s="3" t="s">
        <v>13</v>
      </c>
      <c r="H7" s="2"/>
    </row>
    <row r="8" customFormat="false" ht="23.85" hidden="false" customHeight="false" outlineLevel="0" collapsed="false">
      <c r="A8" s="2" t="n">
        <v>7</v>
      </c>
      <c r="B8" s="2" t="s">
        <v>8</v>
      </c>
      <c r="C8" s="2" t="s">
        <v>34</v>
      </c>
      <c r="D8" s="2" t="s">
        <v>35</v>
      </c>
      <c r="E8" s="2" t="s">
        <v>36</v>
      </c>
      <c r="F8" s="2" t="s">
        <v>37</v>
      </c>
      <c r="G8" s="3" t="s">
        <v>13</v>
      </c>
      <c r="H8" s="2"/>
    </row>
    <row r="9" customFormat="false" ht="23.85" hidden="false" customHeight="false" outlineLevel="0" collapsed="false">
      <c r="A9" s="2" t="n">
        <v>8</v>
      </c>
      <c r="B9" s="2" t="s">
        <v>8</v>
      </c>
      <c r="C9" s="2" t="s">
        <v>38</v>
      </c>
      <c r="D9" s="2" t="s">
        <v>39</v>
      </c>
      <c r="E9" s="2" t="s">
        <v>40</v>
      </c>
      <c r="F9" s="2" t="s">
        <v>41</v>
      </c>
      <c r="G9" s="3" t="s">
        <v>13</v>
      </c>
      <c r="H9" s="2"/>
    </row>
    <row r="10" customFormat="false" ht="35.05" hidden="false" customHeight="false" outlineLevel="0" collapsed="false">
      <c r="A10" s="2" t="n">
        <v>9</v>
      </c>
      <c r="B10" s="2" t="s">
        <v>8</v>
      </c>
      <c r="C10" s="2" t="s">
        <v>42</v>
      </c>
      <c r="D10" s="2" t="s">
        <v>43</v>
      </c>
      <c r="E10" s="2" t="s">
        <v>44</v>
      </c>
      <c r="F10" s="2" t="s">
        <v>45</v>
      </c>
      <c r="G10" s="3" t="s">
        <v>13</v>
      </c>
      <c r="H10" s="2"/>
    </row>
    <row r="11" customFormat="false" ht="23.85" hidden="false" customHeight="false" outlineLevel="0" collapsed="false">
      <c r="A11" s="2" t="n">
        <v>10</v>
      </c>
      <c r="B11" s="2" t="s">
        <v>8</v>
      </c>
      <c r="C11" s="2" t="s">
        <v>46</v>
      </c>
      <c r="D11" s="2" t="s">
        <v>47</v>
      </c>
      <c r="E11" s="2" t="s">
        <v>48</v>
      </c>
      <c r="F11" s="2" t="s">
        <v>49</v>
      </c>
      <c r="G11" s="3" t="s">
        <v>13</v>
      </c>
      <c r="H11" s="2"/>
    </row>
    <row r="12" customFormat="false" ht="35.05" hidden="false" customHeight="false" outlineLevel="0" collapsed="false">
      <c r="A12" s="2" t="n">
        <v>11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4" t="s">
        <v>55</v>
      </c>
      <c r="H12" s="2"/>
    </row>
    <row r="13" customFormat="false" ht="23.85" hidden="false" customHeight="false" outlineLevel="0" collapsed="false">
      <c r="A13" s="2" t="n">
        <v>12</v>
      </c>
      <c r="B13" s="2" t="s">
        <v>50</v>
      </c>
      <c r="C13" s="2" t="s">
        <v>56</v>
      </c>
      <c r="D13" s="2" t="s">
        <v>57</v>
      </c>
      <c r="E13" s="2" t="s">
        <v>58</v>
      </c>
      <c r="F13" s="2" t="s">
        <v>59</v>
      </c>
      <c r="G13" s="4" t="s">
        <v>55</v>
      </c>
      <c r="H13" s="2"/>
    </row>
    <row r="14" customFormat="false" ht="35.05" hidden="false" customHeight="false" outlineLevel="0" collapsed="false">
      <c r="A14" s="2" t="n">
        <v>13</v>
      </c>
      <c r="B14" s="2" t="s">
        <v>50</v>
      </c>
      <c r="C14" s="2" t="s">
        <v>60</v>
      </c>
      <c r="D14" s="2" t="s">
        <v>61</v>
      </c>
      <c r="E14" s="2" t="s">
        <v>62</v>
      </c>
      <c r="F14" s="2" t="s">
        <v>63</v>
      </c>
      <c r="G14" s="4" t="s">
        <v>55</v>
      </c>
      <c r="H14" s="2"/>
    </row>
    <row r="15" customFormat="false" ht="23.85" hidden="false" customHeight="false" outlineLevel="0" collapsed="false">
      <c r="A15" s="2" t="n">
        <v>14</v>
      </c>
      <c r="B15" s="2" t="s">
        <v>50</v>
      </c>
      <c r="C15" s="2" t="s">
        <v>64</v>
      </c>
      <c r="D15" s="2" t="s">
        <v>65</v>
      </c>
      <c r="E15" s="2" t="s">
        <v>66</v>
      </c>
      <c r="F15" s="2" t="s">
        <v>67</v>
      </c>
      <c r="G15" s="4" t="s">
        <v>55</v>
      </c>
      <c r="H15" s="2"/>
    </row>
    <row r="16" customFormat="false" ht="23.85" hidden="false" customHeight="false" outlineLevel="0" collapsed="false">
      <c r="A16" s="2" t="n">
        <v>15</v>
      </c>
      <c r="B16" s="2" t="s">
        <v>50</v>
      </c>
      <c r="C16" s="2" t="s">
        <v>68</v>
      </c>
      <c r="D16" s="2" t="s">
        <v>69</v>
      </c>
      <c r="E16" s="2" t="s">
        <v>70</v>
      </c>
      <c r="F16" s="2" t="s">
        <v>71</v>
      </c>
      <c r="G16" s="4" t="s">
        <v>55</v>
      </c>
      <c r="H16" s="2"/>
    </row>
    <row r="17" customFormat="false" ht="35.05" hidden="false" customHeight="false" outlineLevel="0" collapsed="false">
      <c r="A17" s="2" t="n">
        <v>16</v>
      </c>
      <c r="B17" s="2" t="s">
        <v>50</v>
      </c>
      <c r="C17" s="2" t="s">
        <v>72</v>
      </c>
      <c r="D17" s="2" t="s">
        <v>73</v>
      </c>
      <c r="E17" s="2" t="s">
        <v>74</v>
      </c>
      <c r="F17" s="2" t="s">
        <v>75</v>
      </c>
      <c r="G17" s="4" t="s">
        <v>55</v>
      </c>
      <c r="H17" s="2"/>
    </row>
    <row r="18" customFormat="false" ht="23.85" hidden="false" customHeight="false" outlineLevel="0" collapsed="false">
      <c r="A18" s="2" t="n">
        <v>17</v>
      </c>
      <c r="B18" s="2" t="s">
        <v>50</v>
      </c>
      <c r="C18" s="2" t="s">
        <v>76</v>
      </c>
      <c r="D18" s="2" t="s">
        <v>77</v>
      </c>
      <c r="E18" s="2" t="s">
        <v>78</v>
      </c>
      <c r="F18" s="2" t="s">
        <v>79</v>
      </c>
      <c r="G18" s="4" t="s">
        <v>55</v>
      </c>
      <c r="H18" s="2"/>
    </row>
    <row r="19" customFormat="false" ht="35.05" hidden="false" customHeight="false" outlineLevel="0" collapsed="false">
      <c r="A19" s="2" t="n">
        <v>18</v>
      </c>
      <c r="B19" s="2" t="s">
        <v>50</v>
      </c>
      <c r="C19" s="2" t="s">
        <v>80</v>
      </c>
      <c r="D19" s="2" t="s">
        <v>81</v>
      </c>
      <c r="E19" s="2" t="s">
        <v>82</v>
      </c>
      <c r="F19" s="2" t="s">
        <v>83</v>
      </c>
      <c r="G19" s="4" t="s">
        <v>55</v>
      </c>
      <c r="H19" s="2"/>
    </row>
    <row r="20" customFormat="false" ht="35.05" hidden="false" customHeight="false" outlineLevel="0" collapsed="false">
      <c r="A20" s="2" t="n">
        <v>19</v>
      </c>
      <c r="B20" s="2" t="s">
        <v>84</v>
      </c>
      <c r="C20" s="2" t="s">
        <v>85</v>
      </c>
      <c r="D20" s="2" t="s">
        <v>86</v>
      </c>
      <c r="E20" s="2" t="s">
        <v>87</v>
      </c>
      <c r="F20" s="2" t="s">
        <v>88</v>
      </c>
      <c r="G20" s="4" t="s">
        <v>55</v>
      </c>
      <c r="H20" s="2"/>
    </row>
    <row r="21" customFormat="false" ht="35.05" hidden="false" customHeight="false" outlineLevel="0" collapsed="false">
      <c r="A21" s="2" t="n">
        <v>20</v>
      </c>
      <c r="B21" s="2" t="s">
        <v>84</v>
      </c>
      <c r="C21" s="2" t="s">
        <v>89</v>
      </c>
      <c r="D21" s="2" t="s">
        <v>90</v>
      </c>
      <c r="E21" s="2" t="s">
        <v>91</v>
      </c>
      <c r="F21" s="2" t="s">
        <v>92</v>
      </c>
      <c r="G21" s="4" t="s">
        <v>55</v>
      </c>
      <c r="H21" s="2"/>
    </row>
    <row r="22" customFormat="false" ht="35.05" hidden="false" customHeight="false" outlineLevel="0" collapsed="false">
      <c r="A22" s="2" t="n">
        <v>21</v>
      </c>
      <c r="B22" s="2" t="s">
        <v>84</v>
      </c>
      <c r="C22" s="2" t="s">
        <v>93</v>
      </c>
      <c r="D22" s="2" t="s">
        <v>94</v>
      </c>
      <c r="E22" s="2" t="s">
        <v>95</v>
      </c>
      <c r="F22" s="2" t="s">
        <v>96</v>
      </c>
      <c r="G22" s="4" t="s">
        <v>55</v>
      </c>
      <c r="H22" s="2"/>
    </row>
    <row r="23" customFormat="false" ht="35.05" hidden="false" customHeight="false" outlineLevel="0" collapsed="false">
      <c r="A23" s="2" t="n">
        <v>22</v>
      </c>
      <c r="B23" s="2" t="s">
        <v>84</v>
      </c>
      <c r="C23" s="2" t="s">
        <v>97</v>
      </c>
      <c r="D23" s="2" t="s">
        <v>98</v>
      </c>
      <c r="E23" s="2" t="s">
        <v>99</v>
      </c>
      <c r="F23" s="2" t="s">
        <v>100</v>
      </c>
      <c r="G23" s="4" t="s">
        <v>55</v>
      </c>
      <c r="H23" s="2"/>
    </row>
    <row r="24" customFormat="false" ht="23.85" hidden="false" customHeight="false" outlineLevel="0" collapsed="false">
      <c r="A24" s="2" t="n">
        <v>23</v>
      </c>
      <c r="B24" s="2" t="s">
        <v>84</v>
      </c>
      <c r="C24" s="2" t="s">
        <v>101</v>
      </c>
      <c r="D24" s="2" t="s">
        <v>102</v>
      </c>
      <c r="E24" s="2" t="s">
        <v>103</v>
      </c>
      <c r="F24" s="2" t="s">
        <v>104</v>
      </c>
      <c r="G24" s="4" t="s">
        <v>55</v>
      </c>
      <c r="H24" s="2"/>
    </row>
    <row r="25" customFormat="false" ht="23.85" hidden="false" customHeight="false" outlineLevel="0" collapsed="false">
      <c r="A25" s="2" t="n">
        <v>24</v>
      </c>
      <c r="B25" s="2" t="s">
        <v>84</v>
      </c>
      <c r="C25" s="2" t="s">
        <v>105</v>
      </c>
      <c r="D25" s="2" t="s">
        <v>106</v>
      </c>
      <c r="E25" s="2" t="s">
        <v>107</v>
      </c>
      <c r="F25" s="2" t="s">
        <v>108</v>
      </c>
      <c r="G25" s="4" t="s">
        <v>55</v>
      </c>
      <c r="H25" s="2"/>
    </row>
    <row r="26" customFormat="false" ht="23.85" hidden="false" customHeight="false" outlineLevel="0" collapsed="false">
      <c r="A26" s="2" t="n">
        <v>25</v>
      </c>
      <c r="B26" s="2" t="s">
        <v>84</v>
      </c>
      <c r="C26" s="2" t="s">
        <v>109</v>
      </c>
      <c r="D26" s="2" t="s">
        <v>110</v>
      </c>
      <c r="E26" s="2" t="s">
        <v>111</v>
      </c>
      <c r="F26" s="2" t="s">
        <v>112</v>
      </c>
      <c r="G26" s="4" t="s">
        <v>55</v>
      </c>
      <c r="H26" s="2"/>
    </row>
    <row r="27" customFormat="false" ht="35.05" hidden="false" customHeight="false" outlineLevel="0" collapsed="false">
      <c r="A27" s="2" t="n">
        <v>26</v>
      </c>
      <c r="B27" s="2" t="s">
        <v>84</v>
      </c>
      <c r="C27" s="2" t="s">
        <v>113</v>
      </c>
      <c r="D27" s="2" t="s">
        <v>114</v>
      </c>
      <c r="E27" s="2" t="s">
        <v>115</v>
      </c>
      <c r="F27" s="2" t="s">
        <v>116</v>
      </c>
      <c r="G27" s="4" t="s">
        <v>55</v>
      </c>
      <c r="H27" s="2"/>
    </row>
    <row r="28" customFormat="false" ht="35.05" hidden="false" customHeight="false" outlineLevel="0" collapsed="false">
      <c r="A28" s="2" t="n">
        <v>27</v>
      </c>
      <c r="B28" s="2" t="s">
        <v>117</v>
      </c>
      <c r="C28" s="2" t="s">
        <v>118</v>
      </c>
      <c r="D28" s="2" t="s">
        <v>119</v>
      </c>
      <c r="E28" s="2" t="s">
        <v>120</v>
      </c>
      <c r="F28" s="2" t="s">
        <v>121</v>
      </c>
      <c r="G28" s="5" t="s">
        <v>122</v>
      </c>
      <c r="H28" s="2"/>
    </row>
    <row r="29" customFormat="false" ht="35.05" hidden="false" customHeight="false" outlineLevel="0" collapsed="false">
      <c r="A29" s="2" t="n">
        <v>28</v>
      </c>
      <c r="B29" s="2" t="s">
        <v>117</v>
      </c>
      <c r="C29" s="2" t="s">
        <v>123</v>
      </c>
      <c r="D29" s="2" t="s">
        <v>124</v>
      </c>
      <c r="E29" s="2" t="s">
        <v>125</v>
      </c>
      <c r="F29" s="2" t="s">
        <v>126</v>
      </c>
      <c r="G29" s="5" t="s">
        <v>122</v>
      </c>
      <c r="H29" s="2"/>
    </row>
    <row r="30" customFormat="false" ht="35.05" hidden="false" customHeight="false" outlineLevel="0" collapsed="false">
      <c r="A30" s="2" t="n">
        <v>29</v>
      </c>
      <c r="B30" s="2" t="s">
        <v>117</v>
      </c>
      <c r="C30" s="2" t="s">
        <v>127</v>
      </c>
      <c r="D30" s="2" t="s">
        <v>128</v>
      </c>
      <c r="E30" s="2" t="s">
        <v>129</v>
      </c>
      <c r="F30" s="2" t="s">
        <v>130</v>
      </c>
      <c r="G30" s="5" t="s">
        <v>122</v>
      </c>
      <c r="H30" s="2"/>
    </row>
    <row r="31" customFormat="false" ht="35.05" hidden="false" customHeight="false" outlineLevel="0" collapsed="false">
      <c r="A31" s="2" t="n">
        <v>30</v>
      </c>
      <c r="B31" s="2" t="s">
        <v>117</v>
      </c>
      <c r="C31" s="2" t="s">
        <v>131</v>
      </c>
      <c r="D31" s="2" t="s">
        <v>132</v>
      </c>
      <c r="E31" s="2" t="s">
        <v>133</v>
      </c>
      <c r="F31" s="2" t="s">
        <v>134</v>
      </c>
      <c r="G31" s="5" t="s">
        <v>122</v>
      </c>
      <c r="H31" s="2"/>
    </row>
    <row r="32" customFormat="false" ht="35.05" hidden="false" customHeight="false" outlineLevel="0" collapsed="false">
      <c r="A32" s="2" t="n">
        <v>31</v>
      </c>
      <c r="B32" s="2" t="s">
        <v>117</v>
      </c>
      <c r="C32" s="2" t="s">
        <v>135</v>
      </c>
      <c r="D32" s="2" t="s">
        <v>136</v>
      </c>
      <c r="E32" s="2" t="s">
        <v>137</v>
      </c>
      <c r="F32" s="2" t="s">
        <v>138</v>
      </c>
      <c r="G32" s="5" t="s">
        <v>122</v>
      </c>
      <c r="H32" s="2"/>
    </row>
    <row r="33" customFormat="false" ht="35.05" hidden="false" customHeight="false" outlineLevel="0" collapsed="false">
      <c r="A33" s="2" t="n">
        <v>32</v>
      </c>
      <c r="B33" s="2" t="s">
        <v>117</v>
      </c>
      <c r="C33" s="2" t="s">
        <v>139</v>
      </c>
      <c r="D33" s="2" t="s">
        <v>140</v>
      </c>
      <c r="E33" s="2" t="s">
        <v>141</v>
      </c>
      <c r="F33" s="2" t="s">
        <v>142</v>
      </c>
      <c r="G33" s="5" t="s">
        <v>122</v>
      </c>
      <c r="H33" s="2"/>
    </row>
    <row r="34" customFormat="false" ht="35.05" hidden="false" customHeight="false" outlineLevel="0" collapsed="false">
      <c r="A34" s="2" t="n">
        <v>33</v>
      </c>
      <c r="B34" s="2" t="s">
        <v>117</v>
      </c>
      <c r="C34" s="2" t="s">
        <v>143</v>
      </c>
      <c r="D34" s="2" t="s">
        <v>144</v>
      </c>
      <c r="E34" s="2" t="s">
        <v>145</v>
      </c>
      <c r="F34" s="2" t="s">
        <v>146</v>
      </c>
      <c r="G34" s="5" t="s">
        <v>122</v>
      </c>
      <c r="H34" s="2"/>
    </row>
    <row r="35" customFormat="false" ht="35.05" hidden="false" customHeight="false" outlineLevel="0" collapsed="false">
      <c r="A35" s="2" t="n">
        <v>34</v>
      </c>
      <c r="B35" s="2" t="s">
        <v>117</v>
      </c>
      <c r="C35" s="2" t="s">
        <v>147</v>
      </c>
      <c r="D35" s="2" t="s">
        <v>148</v>
      </c>
      <c r="E35" s="2" t="s">
        <v>149</v>
      </c>
      <c r="F35" s="2" t="s">
        <v>150</v>
      </c>
      <c r="G35" s="5" t="s">
        <v>122</v>
      </c>
      <c r="H35" s="2"/>
    </row>
    <row r="36" customFormat="false" ht="35.05" hidden="false" customHeight="false" outlineLevel="0" collapsed="false">
      <c r="A36" s="2" t="n">
        <v>35</v>
      </c>
      <c r="B36" s="2" t="s">
        <v>117</v>
      </c>
      <c r="C36" s="2" t="s">
        <v>151</v>
      </c>
      <c r="D36" s="2" t="s">
        <v>152</v>
      </c>
      <c r="E36" s="2" t="s">
        <v>153</v>
      </c>
      <c r="F36" s="2" t="s">
        <v>154</v>
      </c>
      <c r="G36" s="5" t="s">
        <v>122</v>
      </c>
      <c r="H36" s="2"/>
    </row>
    <row r="37" customFormat="false" ht="35.05" hidden="false" customHeight="false" outlineLevel="0" collapsed="false">
      <c r="A37" s="2" t="n">
        <v>36</v>
      </c>
      <c r="B37" s="2" t="s">
        <v>117</v>
      </c>
      <c r="C37" s="2" t="s">
        <v>155</v>
      </c>
      <c r="D37" s="2" t="s">
        <v>156</v>
      </c>
      <c r="E37" s="2" t="s">
        <v>157</v>
      </c>
      <c r="F37" s="2" t="s">
        <v>158</v>
      </c>
      <c r="G37" s="5" t="s">
        <v>122</v>
      </c>
      <c r="H37" s="2"/>
    </row>
    <row r="38" customFormat="false" ht="35.05" hidden="false" customHeight="false" outlineLevel="0" collapsed="false">
      <c r="A38" s="2" t="n">
        <v>37</v>
      </c>
      <c r="B38" s="2" t="s">
        <v>117</v>
      </c>
      <c r="C38" s="2" t="s">
        <v>159</v>
      </c>
      <c r="D38" s="2" t="s">
        <v>160</v>
      </c>
      <c r="E38" s="2" t="s">
        <v>161</v>
      </c>
      <c r="F38" s="2" t="s">
        <v>162</v>
      </c>
      <c r="G38" s="5" t="s">
        <v>122</v>
      </c>
      <c r="H38" s="2"/>
    </row>
    <row r="39" customFormat="false" ht="35.05" hidden="false" customHeight="false" outlineLevel="0" collapsed="false">
      <c r="A39" s="2" t="n">
        <v>38</v>
      </c>
      <c r="B39" s="2" t="s">
        <v>117</v>
      </c>
      <c r="C39" s="2" t="s">
        <v>163</v>
      </c>
      <c r="D39" s="2" t="s">
        <v>164</v>
      </c>
      <c r="E39" s="2" t="s">
        <v>165</v>
      </c>
      <c r="F39" s="2" t="s">
        <v>166</v>
      </c>
      <c r="G39" s="5" t="s">
        <v>122</v>
      </c>
      <c r="H39" s="2"/>
    </row>
    <row r="40" customFormat="false" ht="35.05" hidden="false" customHeight="false" outlineLevel="0" collapsed="false">
      <c r="A40" s="2" t="n">
        <v>39</v>
      </c>
      <c r="B40" s="2" t="s">
        <v>117</v>
      </c>
      <c r="C40" s="2" t="s">
        <v>167</v>
      </c>
      <c r="D40" s="2" t="s">
        <v>168</v>
      </c>
      <c r="E40" s="2" t="s">
        <v>169</v>
      </c>
      <c r="F40" s="2" t="s">
        <v>170</v>
      </c>
      <c r="G40" s="5" t="s">
        <v>122</v>
      </c>
      <c r="H40" s="2"/>
    </row>
    <row r="41" customFormat="false" ht="35.05" hidden="false" customHeight="false" outlineLevel="0" collapsed="false">
      <c r="A41" s="2" t="n">
        <v>40</v>
      </c>
      <c r="B41" s="2" t="s">
        <v>117</v>
      </c>
      <c r="C41" s="2" t="s">
        <v>171</v>
      </c>
      <c r="D41" s="2" t="s">
        <v>172</v>
      </c>
      <c r="E41" s="2" t="s">
        <v>173</v>
      </c>
      <c r="F41" s="2" t="s">
        <v>174</v>
      </c>
      <c r="G41" s="5" t="s">
        <v>122</v>
      </c>
      <c r="H41" s="2"/>
    </row>
    <row r="42" customFormat="false" ht="35.05" hidden="false" customHeight="false" outlineLevel="0" collapsed="false">
      <c r="A42" s="2" t="n">
        <v>41</v>
      </c>
      <c r="B42" s="2" t="s">
        <v>117</v>
      </c>
      <c r="C42" s="2" t="s">
        <v>175</v>
      </c>
      <c r="D42" s="2" t="s">
        <v>176</v>
      </c>
      <c r="E42" s="2" t="s">
        <v>177</v>
      </c>
      <c r="F42" s="2" t="s">
        <v>178</v>
      </c>
      <c r="G42" s="5" t="s">
        <v>122</v>
      </c>
      <c r="H42" s="2"/>
    </row>
    <row r="43" customFormat="false" ht="46.25" hidden="false" customHeight="false" outlineLevel="0" collapsed="false">
      <c r="A43" s="2" t="n">
        <v>42</v>
      </c>
      <c r="B43" s="2" t="s">
        <v>117</v>
      </c>
      <c r="C43" s="2" t="s">
        <v>179</v>
      </c>
      <c r="D43" s="2" t="s">
        <v>180</v>
      </c>
      <c r="E43" s="2" t="s">
        <v>181</v>
      </c>
      <c r="F43" s="2" t="s">
        <v>182</v>
      </c>
      <c r="G43" s="5" t="s">
        <v>122</v>
      </c>
      <c r="H43" s="2"/>
    </row>
    <row r="44" customFormat="false" ht="35.05" hidden="false" customHeight="false" outlineLevel="0" collapsed="false">
      <c r="A44" s="2" t="n">
        <v>43</v>
      </c>
      <c r="B44" s="2" t="s">
        <v>117</v>
      </c>
      <c r="C44" s="2" t="s">
        <v>183</v>
      </c>
      <c r="D44" s="2" t="s">
        <v>184</v>
      </c>
      <c r="E44" s="2" t="s">
        <v>185</v>
      </c>
      <c r="F44" s="2" t="s">
        <v>186</v>
      </c>
      <c r="G44" s="5" t="s">
        <v>122</v>
      </c>
      <c r="H44" s="2"/>
    </row>
    <row r="45" customFormat="false" ht="35.05" hidden="false" customHeight="false" outlineLevel="0" collapsed="false">
      <c r="A45" s="2" t="n">
        <v>44</v>
      </c>
      <c r="B45" s="2" t="s">
        <v>117</v>
      </c>
      <c r="C45" s="2" t="s">
        <v>187</v>
      </c>
      <c r="D45" s="2" t="s">
        <v>188</v>
      </c>
      <c r="E45" s="2" t="s">
        <v>189</v>
      </c>
      <c r="F45" s="2" t="s">
        <v>190</v>
      </c>
      <c r="G45" s="5" t="s">
        <v>122</v>
      </c>
      <c r="H45" s="2"/>
    </row>
    <row r="46" customFormat="false" ht="35.05" hidden="false" customHeight="false" outlineLevel="0" collapsed="false">
      <c r="A46" s="2" t="n">
        <v>45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s">
        <v>195</v>
      </c>
      <c r="G46" s="6" t="s">
        <v>196</v>
      </c>
      <c r="H46" s="2"/>
    </row>
    <row r="47" customFormat="false" ht="35.05" hidden="false" customHeight="false" outlineLevel="0" collapsed="false">
      <c r="A47" s="2" t="n">
        <v>46</v>
      </c>
      <c r="B47" s="2" t="s">
        <v>191</v>
      </c>
      <c r="C47" s="2" t="s">
        <v>197</v>
      </c>
      <c r="D47" s="2" t="s">
        <v>198</v>
      </c>
      <c r="E47" s="2" t="s">
        <v>199</v>
      </c>
      <c r="F47" s="2" t="s">
        <v>200</v>
      </c>
      <c r="G47" s="6" t="s">
        <v>196</v>
      </c>
      <c r="H47" s="2"/>
    </row>
    <row r="48" customFormat="false" ht="35.05" hidden="false" customHeight="false" outlineLevel="0" collapsed="false">
      <c r="A48" s="2" t="n">
        <v>47</v>
      </c>
      <c r="B48" s="2" t="s">
        <v>191</v>
      </c>
      <c r="C48" s="2" t="s">
        <v>201</v>
      </c>
      <c r="D48" s="2" t="s">
        <v>202</v>
      </c>
      <c r="E48" s="2" t="s">
        <v>203</v>
      </c>
      <c r="F48" s="2" t="s">
        <v>204</v>
      </c>
      <c r="G48" s="6" t="s">
        <v>196</v>
      </c>
      <c r="H48" s="2"/>
    </row>
    <row r="49" customFormat="false" ht="35.05" hidden="false" customHeight="false" outlineLevel="0" collapsed="false">
      <c r="A49" s="2" t="n">
        <v>48</v>
      </c>
      <c r="B49" s="2" t="s">
        <v>191</v>
      </c>
      <c r="C49" s="2" t="s">
        <v>205</v>
      </c>
      <c r="D49" s="2" t="s">
        <v>206</v>
      </c>
      <c r="E49" s="2" t="s">
        <v>207</v>
      </c>
      <c r="F49" s="2" t="s">
        <v>208</v>
      </c>
      <c r="G49" s="6" t="s">
        <v>196</v>
      </c>
      <c r="H49" s="2"/>
    </row>
    <row r="50" customFormat="false" ht="35.05" hidden="false" customHeight="false" outlineLevel="0" collapsed="false">
      <c r="A50" s="2" t="n">
        <v>49</v>
      </c>
      <c r="B50" s="2" t="s">
        <v>191</v>
      </c>
      <c r="C50" s="2" t="s">
        <v>209</v>
      </c>
      <c r="D50" s="2" t="s">
        <v>210</v>
      </c>
      <c r="E50" s="2" t="s">
        <v>211</v>
      </c>
      <c r="F50" s="2" t="s">
        <v>212</v>
      </c>
      <c r="G50" s="6" t="s">
        <v>196</v>
      </c>
      <c r="H50" s="2"/>
    </row>
    <row r="51" customFormat="false" ht="35.05" hidden="false" customHeight="false" outlineLevel="0" collapsed="false">
      <c r="A51" s="2" t="n">
        <v>50</v>
      </c>
      <c r="B51" s="2" t="s">
        <v>191</v>
      </c>
      <c r="C51" s="2" t="s">
        <v>213</v>
      </c>
      <c r="D51" s="2" t="s">
        <v>214</v>
      </c>
      <c r="E51" s="2" t="s">
        <v>215</v>
      </c>
      <c r="F51" s="2" t="s">
        <v>216</v>
      </c>
      <c r="G51" s="6" t="s">
        <v>196</v>
      </c>
      <c r="H51" s="2"/>
    </row>
    <row r="52" customFormat="false" ht="35.05" hidden="false" customHeight="false" outlineLevel="0" collapsed="false">
      <c r="A52" s="2" t="n">
        <v>51</v>
      </c>
      <c r="B52" s="2" t="s">
        <v>191</v>
      </c>
      <c r="C52" s="2" t="s">
        <v>217</v>
      </c>
      <c r="D52" s="2" t="s">
        <v>218</v>
      </c>
      <c r="E52" s="2" t="s">
        <v>219</v>
      </c>
      <c r="F52" s="2" t="s">
        <v>220</v>
      </c>
      <c r="G52" s="6" t="s">
        <v>196</v>
      </c>
      <c r="H52" s="2"/>
    </row>
    <row r="53" customFormat="false" ht="46.25" hidden="false" customHeight="false" outlineLevel="0" collapsed="false">
      <c r="A53" s="2" t="n">
        <v>52</v>
      </c>
      <c r="B53" s="2" t="s">
        <v>191</v>
      </c>
      <c r="C53" s="2" t="s">
        <v>221</v>
      </c>
      <c r="D53" s="2" t="s">
        <v>222</v>
      </c>
      <c r="E53" s="2" t="s">
        <v>223</v>
      </c>
      <c r="F53" s="2" t="s">
        <v>224</v>
      </c>
      <c r="G53" s="6" t="s">
        <v>196</v>
      </c>
      <c r="H53" s="2"/>
    </row>
    <row r="54" customFormat="false" ht="35.05" hidden="false" customHeight="false" outlineLevel="0" collapsed="false">
      <c r="A54" s="2" t="n">
        <v>53</v>
      </c>
      <c r="B54" s="2" t="s">
        <v>191</v>
      </c>
      <c r="C54" s="2" t="s">
        <v>225</v>
      </c>
      <c r="D54" s="2" t="s">
        <v>226</v>
      </c>
      <c r="E54" s="2" t="s">
        <v>227</v>
      </c>
      <c r="F54" s="2" t="s">
        <v>228</v>
      </c>
      <c r="G54" s="6" t="s">
        <v>196</v>
      </c>
      <c r="H54" s="2"/>
    </row>
    <row r="55" customFormat="false" ht="46.25" hidden="false" customHeight="false" outlineLevel="0" collapsed="false">
      <c r="A55" s="2" t="n">
        <v>54</v>
      </c>
      <c r="B55" s="2" t="s">
        <v>191</v>
      </c>
      <c r="C55" s="2" t="s">
        <v>229</v>
      </c>
      <c r="D55" s="2" t="s">
        <v>230</v>
      </c>
      <c r="E55" s="2" t="s">
        <v>231</v>
      </c>
      <c r="F55" s="2" t="s">
        <v>232</v>
      </c>
      <c r="G55" s="6" t="s">
        <v>196</v>
      </c>
      <c r="H55" s="2"/>
    </row>
    <row r="56" customFormat="false" ht="35.05" hidden="false" customHeight="false" outlineLevel="0" collapsed="false">
      <c r="A56" s="2" t="n">
        <v>55</v>
      </c>
      <c r="B56" s="2" t="s">
        <v>191</v>
      </c>
      <c r="C56" s="2" t="s">
        <v>233</v>
      </c>
      <c r="D56" s="2" t="s">
        <v>234</v>
      </c>
      <c r="E56" s="2" t="s">
        <v>235</v>
      </c>
      <c r="F56" s="2" t="s">
        <v>236</v>
      </c>
      <c r="G56" s="7" t="s">
        <v>237</v>
      </c>
      <c r="H56" s="2"/>
    </row>
    <row r="57" customFormat="false" ht="46.25" hidden="false" customHeight="false" outlineLevel="0" collapsed="false">
      <c r="A57" s="2" t="n">
        <v>56</v>
      </c>
      <c r="B57" s="2" t="s">
        <v>191</v>
      </c>
      <c r="C57" s="2" t="s">
        <v>238</v>
      </c>
      <c r="D57" s="2" t="s">
        <v>239</v>
      </c>
      <c r="E57" s="2" t="s">
        <v>240</v>
      </c>
      <c r="F57" s="2" t="s">
        <v>241</v>
      </c>
      <c r="G57" s="6" t="s">
        <v>196</v>
      </c>
      <c r="H57" s="2"/>
    </row>
    <row r="58" customFormat="false" ht="35.05" hidden="false" customHeight="false" outlineLevel="0" collapsed="false">
      <c r="A58" s="2" t="n">
        <v>57</v>
      </c>
      <c r="B58" s="2" t="s">
        <v>191</v>
      </c>
      <c r="C58" s="2" t="s">
        <v>242</v>
      </c>
      <c r="D58" s="2" t="s">
        <v>243</v>
      </c>
      <c r="E58" s="2" t="s">
        <v>244</v>
      </c>
      <c r="F58" s="2" t="s">
        <v>245</v>
      </c>
      <c r="G58" s="6" t="s">
        <v>196</v>
      </c>
      <c r="H58" s="2"/>
    </row>
    <row r="59" customFormat="false" ht="35.05" hidden="false" customHeight="false" outlineLevel="0" collapsed="false">
      <c r="A59" s="2" t="n">
        <v>58</v>
      </c>
      <c r="B59" s="2" t="s">
        <v>191</v>
      </c>
      <c r="C59" s="2" t="s">
        <v>246</v>
      </c>
      <c r="D59" s="2" t="s">
        <v>247</v>
      </c>
      <c r="E59" s="2" t="s">
        <v>248</v>
      </c>
      <c r="F59" s="2" t="s">
        <v>249</v>
      </c>
      <c r="G59" s="6" t="s">
        <v>196</v>
      </c>
      <c r="H59" s="2"/>
    </row>
    <row r="60" customFormat="false" ht="35.05" hidden="false" customHeight="false" outlineLevel="0" collapsed="false">
      <c r="A60" s="2" t="n">
        <v>59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s">
        <v>254</v>
      </c>
      <c r="G60" s="8" t="s">
        <v>255</v>
      </c>
      <c r="H60" s="2"/>
    </row>
    <row r="61" customFormat="false" ht="46.25" hidden="false" customHeight="false" outlineLevel="0" collapsed="false">
      <c r="A61" s="2" t="n">
        <v>60</v>
      </c>
      <c r="B61" s="2" t="s">
        <v>250</v>
      </c>
      <c r="C61" s="2" t="s">
        <v>256</v>
      </c>
      <c r="D61" s="2" t="s">
        <v>257</v>
      </c>
      <c r="E61" s="2" t="s">
        <v>258</v>
      </c>
      <c r="F61" s="2" t="s">
        <v>259</v>
      </c>
      <c r="G61" s="8" t="s">
        <v>255</v>
      </c>
      <c r="H61" s="2"/>
    </row>
    <row r="62" customFormat="false" ht="35.05" hidden="false" customHeight="false" outlineLevel="0" collapsed="false">
      <c r="A62" s="2" t="n">
        <v>61</v>
      </c>
      <c r="B62" s="2" t="s">
        <v>250</v>
      </c>
      <c r="C62" s="2" t="s">
        <v>260</v>
      </c>
      <c r="D62" s="2" t="s">
        <v>261</v>
      </c>
      <c r="E62" s="2" t="s">
        <v>262</v>
      </c>
      <c r="F62" s="2" t="s">
        <v>263</v>
      </c>
      <c r="G62" s="8" t="s">
        <v>255</v>
      </c>
      <c r="H62" s="2"/>
    </row>
    <row r="63" customFormat="false" ht="35.05" hidden="false" customHeight="false" outlineLevel="0" collapsed="false">
      <c r="A63" s="2" t="n">
        <v>62</v>
      </c>
      <c r="B63" s="2" t="s">
        <v>250</v>
      </c>
      <c r="C63" s="2" t="s">
        <v>264</v>
      </c>
      <c r="D63" s="2" t="s">
        <v>265</v>
      </c>
      <c r="E63" s="2" t="s">
        <v>266</v>
      </c>
      <c r="F63" s="2" t="s">
        <v>267</v>
      </c>
      <c r="G63" s="8" t="s">
        <v>255</v>
      </c>
      <c r="H63" s="2"/>
    </row>
    <row r="64" customFormat="false" ht="35.05" hidden="false" customHeight="false" outlineLevel="0" collapsed="false">
      <c r="A64" s="2" t="n">
        <v>63</v>
      </c>
      <c r="B64" s="2" t="s">
        <v>250</v>
      </c>
      <c r="C64" s="2" t="s">
        <v>268</v>
      </c>
      <c r="D64" s="2" t="s">
        <v>269</v>
      </c>
      <c r="E64" s="2" t="s">
        <v>270</v>
      </c>
      <c r="F64" s="2" t="s">
        <v>271</v>
      </c>
      <c r="G64" s="8" t="s">
        <v>255</v>
      </c>
      <c r="H64" s="2"/>
    </row>
    <row r="65" customFormat="false" ht="46.25" hidden="false" customHeight="false" outlineLevel="0" collapsed="false">
      <c r="A65" s="2" t="n">
        <v>64</v>
      </c>
      <c r="B65" s="2" t="s">
        <v>250</v>
      </c>
      <c r="C65" s="2" t="s">
        <v>272</v>
      </c>
      <c r="D65" s="2" t="s">
        <v>273</v>
      </c>
      <c r="E65" s="2" t="s">
        <v>274</v>
      </c>
      <c r="F65" s="2" t="s">
        <v>275</v>
      </c>
      <c r="G65" s="8" t="s">
        <v>255</v>
      </c>
      <c r="H65" s="2"/>
    </row>
    <row r="66" customFormat="false" ht="35.05" hidden="false" customHeight="false" outlineLevel="0" collapsed="false">
      <c r="A66" s="2" t="n">
        <v>65</v>
      </c>
      <c r="B66" s="2" t="s">
        <v>250</v>
      </c>
      <c r="C66" s="2" t="s">
        <v>276</v>
      </c>
      <c r="D66" s="2" t="s">
        <v>277</v>
      </c>
      <c r="E66" s="2" t="s">
        <v>278</v>
      </c>
      <c r="F66" s="2" t="s">
        <v>279</v>
      </c>
      <c r="G66" s="8" t="s">
        <v>255</v>
      </c>
      <c r="H66" s="2"/>
    </row>
    <row r="67" customFormat="false" ht="35.05" hidden="false" customHeight="false" outlineLevel="0" collapsed="false">
      <c r="A67" s="2" t="n">
        <v>66</v>
      </c>
      <c r="B67" s="2" t="s">
        <v>250</v>
      </c>
      <c r="C67" s="2" t="s">
        <v>280</v>
      </c>
      <c r="D67" s="2" t="s">
        <v>281</v>
      </c>
      <c r="E67" s="2" t="s">
        <v>282</v>
      </c>
      <c r="F67" s="2" t="s">
        <v>283</v>
      </c>
      <c r="G67" s="8" t="s">
        <v>255</v>
      </c>
      <c r="H67" s="2"/>
    </row>
    <row r="68" customFormat="false" ht="35.05" hidden="false" customHeight="false" outlineLevel="0" collapsed="false">
      <c r="A68" s="2" t="n">
        <v>67</v>
      </c>
      <c r="B68" s="2" t="s">
        <v>250</v>
      </c>
      <c r="C68" s="2" t="s">
        <v>284</v>
      </c>
      <c r="D68" s="2" t="s">
        <v>285</v>
      </c>
      <c r="E68" s="2" t="s">
        <v>286</v>
      </c>
      <c r="F68" s="2" t="s">
        <v>287</v>
      </c>
      <c r="G68" s="8" t="s">
        <v>255</v>
      </c>
      <c r="H68" s="2"/>
    </row>
    <row r="69" customFormat="false" ht="35.05" hidden="false" customHeight="false" outlineLevel="0" collapsed="false">
      <c r="A69" s="2" t="n">
        <v>68</v>
      </c>
      <c r="B69" s="2" t="s">
        <v>250</v>
      </c>
      <c r="C69" s="2" t="s">
        <v>288</v>
      </c>
      <c r="D69" s="2" t="s">
        <v>289</v>
      </c>
      <c r="E69" s="2" t="s">
        <v>290</v>
      </c>
      <c r="F69" s="2" t="s">
        <v>291</v>
      </c>
      <c r="G69" s="8" t="s">
        <v>255</v>
      </c>
      <c r="H69" s="2"/>
    </row>
    <row r="70" customFormat="false" ht="35.05" hidden="false" customHeight="false" outlineLevel="0" collapsed="false">
      <c r="A70" s="2" t="n">
        <v>69</v>
      </c>
      <c r="B70" s="2" t="s">
        <v>250</v>
      </c>
      <c r="C70" s="2" t="s">
        <v>292</v>
      </c>
      <c r="D70" s="2" t="s">
        <v>293</v>
      </c>
      <c r="E70" s="2" t="s">
        <v>294</v>
      </c>
      <c r="F70" s="2" t="s">
        <v>295</v>
      </c>
      <c r="G70" s="8" t="s">
        <v>255</v>
      </c>
      <c r="H70" s="2"/>
    </row>
    <row r="71" customFormat="false" ht="35.05" hidden="false" customHeight="false" outlineLevel="0" collapsed="false">
      <c r="A71" s="2" t="n">
        <v>70</v>
      </c>
      <c r="B71" s="2" t="s">
        <v>250</v>
      </c>
      <c r="C71" s="2" t="s">
        <v>296</v>
      </c>
      <c r="D71" s="2" t="s">
        <v>297</v>
      </c>
      <c r="E71" s="2" t="s">
        <v>298</v>
      </c>
      <c r="F71" s="2" t="s">
        <v>299</v>
      </c>
      <c r="G71" s="8" t="s">
        <v>255</v>
      </c>
      <c r="H71" s="2"/>
    </row>
    <row r="72" customFormat="false" ht="35.05" hidden="false" customHeight="false" outlineLevel="0" collapsed="false">
      <c r="A72" s="2" t="n">
        <v>71</v>
      </c>
      <c r="B72" s="2" t="s">
        <v>250</v>
      </c>
      <c r="C72" s="2" t="s">
        <v>300</v>
      </c>
      <c r="D72" s="2" t="s">
        <v>301</v>
      </c>
      <c r="E72" s="2" t="s">
        <v>302</v>
      </c>
      <c r="F72" s="2" t="s">
        <v>303</v>
      </c>
      <c r="G72" s="8" t="s">
        <v>255</v>
      </c>
      <c r="H72" s="2"/>
    </row>
    <row r="73" customFormat="false" ht="35.05" hidden="false" customHeight="false" outlineLevel="0" collapsed="false">
      <c r="A73" s="2" t="n">
        <v>72</v>
      </c>
      <c r="B73" s="2" t="s">
        <v>250</v>
      </c>
      <c r="C73" s="2" t="s">
        <v>304</v>
      </c>
      <c r="D73" s="2" t="s">
        <v>305</v>
      </c>
      <c r="E73" s="2" t="s">
        <v>306</v>
      </c>
      <c r="F73" s="2" t="s">
        <v>307</v>
      </c>
      <c r="G73" s="8" t="s">
        <v>255</v>
      </c>
      <c r="H73" s="2"/>
    </row>
    <row r="74" customFormat="false" ht="35.05" hidden="false" customHeight="false" outlineLevel="0" collapsed="false">
      <c r="A74" s="2" t="n">
        <v>73</v>
      </c>
      <c r="B74" s="2" t="s">
        <v>308</v>
      </c>
      <c r="C74" s="2" t="s">
        <v>309</v>
      </c>
      <c r="D74" s="2" t="s">
        <v>310</v>
      </c>
      <c r="E74" s="2" t="s">
        <v>311</v>
      </c>
      <c r="F74" s="2" t="s">
        <v>312</v>
      </c>
      <c r="G74" s="6" t="s">
        <v>313</v>
      </c>
      <c r="H74" s="2"/>
    </row>
    <row r="75" customFormat="false" ht="35.05" hidden="false" customHeight="false" outlineLevel="0" collapsed="false">
      <c r="A75" s="2" t="n">
        <v>74</v>
      </c>
      <c r="B75" s="2" t="s">
        <v>308</v>
      </c>
      <c r="C75" s="2" t="s">
        <v>314</v>
      </c>
      <c r="D75" s="2" t="s">
        <v>315</v>
      </c>
      <c r="E75" s="2" t="s">
        <v>316</v>
      </c>
      <c r="F75" s="2" t="s">
        <v>317</v>
      </c>
      <c r="G75" s="6" t="s">
        <v>313</v>
      </c>
      <c r="H75" s="2"/>
    </row>
    <row r="76" customFormat="false" ht="35.05" hidden="false" customHeight="false" outlineLevel="0" collapsed="false">
      <c r="A76" s="2" t="n">
        <v>75</v>
      </c>
      <c r="B76" s="2" t="s">
        <v>308</v>
      </c>
      <c r="C76" s="2" t="s">
        <v>318</v>
      </c>
      <c r="D76" s="2" t="s">
        <v>319</v>
      </c>
      <c r="E76" s="2" t="s">
        <v>320</v>
      </c>
      <c r="F76" s="2" t="s">
        <v>321</v>
      </c>
      <c r="G76" s="6" t="s">
        <v>313</v>
      </c>
      <c r="H76" s="2"/>
    </row>
    <row r="77" customFormat="false" ht="35.05" hidden="false" customHeight="false" outlineLevel="0" collapsed="false">
      <c r="A77" s="2" t="n">
        <v>76</v>
      </c>
      <c r="B77" s="2" t="s">
        <v>308</v>
      </c>
      <c r="C77" s="2" t="s">
        <v>322</v>
      </c>
      <c r="D77" s="2" t="s">
        <v>323</v>
      </c>
      <c r="E77" s="2" t="s">
        <v>324</v>
      </c>
      <c r="F77" s="2" t="s">
        <v>325</v>
      </c>
      <c r="G77" s="6" t="s">
        <v>313</v>
      </c>
      <c r="H77" s="2"/>
    </row>
    <row r="78" customFormat="false" ht="35.05" hidden="false" customHeight="false" outlineLevel="0" collapsed="false">
      <c r="A78" s="2" t="n">
        <v>77</v>
      </c>
      <c r="B78" s="2" t="s">
        <v>308</v>
      </c>
      <c r="C78" s="2" t="s">
        <v>326</v>
      </c>
      <c r="D78" s="2" t="s">
        <v>327</v>
      </c>
      <c r="E78" s="2" t="s">
        <v>328</v>
      </c>
      <c r="F78" s="2" t="s">
        <v>329</v>
      </c>
      <c r="G78" s="6" t="s">
        <v>313</v>
      </c>
      <c r="H78" s="2"/>
    </row>
    <row r="79" customFormat="false" ht="46.25" hidden="false" customHeight="false" outlineLevel="0" collapsed="false">
      <c r="A79" s="2" t="n">
        <v>78</v>
      </c>
      <c r="B79" s="2" t="s">
        <v>308</v>
      </c>
      <c r="C79" s="2" t="s">
        <v>330</v>
      </c>
      <c r="D79" s="2" t="s">
        <v>331</v>
      </c>
      <c r="E79" s="2" t="s">
        <v>332</v>
      </c>
      <c r="F79" s="2" t="s">
        <v>333</v>
      </c>
      <c r="G79" s="6" t="s">
        <v>313</v>
      </c>
      <c r="H79" s="2"/>
    </row>
    <row r="80" customFormat="false" ht="35.05" hidden="false" customHeight="false" outlineLevel="0" collapsed="false">
      <c r="A80" s="2" t="n">
        <v>79</v>
      </c>
      <c r="B80" s="2" t="s">
        <v>308</v>
      </c>
      <c r="C80" s="2" t="s">
        <v>334</v>
      </c>
      <c r="D80" s="2" t="s">
        <v>335</v>
      </c>
      <c r="E80" s="2" t="s">
        <v>336</v>
      </c>
      <c r="F80" s="2" t="s">
        <v>337</v>
      </c>
      <c r="G80" s="6" t="s">
        <v>313</v>
      </c>
      <c r="H80" s="2"/>
    </row>
    <row r="81" customFormat="false" ht="35.05" hidden="false" customHeight="false" outlineLevel="0" collapsed="false">
      <c r="A81" s="2" t="n">
        <v>80</v>
      </c>
      <c r="B81" s="2" t="s">
        <v>308</v>
      </c>
      <c r="C81" s="2" t="s">
        <v>338</v>
      </c>
      <c r="D81" s="2" t="s">
        <v>339</v>
      </c>
      <c r="E81" s="2" t="s">
        <v>340</v>
      </c>
      <c r="F81" s="2" t="s">
        <v>341</v>
      </c>
      <c r="G81" s="6" t="s">
        <v>313</v>
      </c>
      <c r="H81" s="2"/>
    </row>
    <row r="82" customFormat="false" ht="35.05" hidden="false" customHeight="false" outlineLevel="0" collapsed="false">
      <c r="A82" s="2" t="n">
        <v>81</v>
      </c>
      <c r="B82" s="2" t="s">
        <v>308</v>
      </c>
      <c r="C82" s="2" t="s">
        <v>342</v>
      </c>
      <c r="D82" s="2" t="s">
        <v>343</v>
      </c>
      <c r="E82" s="2" t="s">
        <v>344</v>
      </c>
      <c r="F82" s="2" t="s">
        <v>345</v>
      </c>
      <c r="G82" s="6" t="s">
        <v>313</v>
      </c>
      <c r="H82" s="2"/>
    </row>
    <row r="83" customFormat="false" ht="46.25" hidden="false" customHeight="false" outlineLevel="0" collapsed="false">
      <c r="A83" s="2" t="n">
        <v>82</v>
      </c>
      <c r="B83" s="2" t="s">
        <v>308</v>
      </c>
      <c r="C83" s="2" t="s">
        <v>346</v>
      </c>
      <c r="D83" s="2" t="s">
        <v>347</v>
      </c>
      <c r="E83" s="2" t="s">
        <v>348</v>
      </c>
      <c r="F83" s="2" t="s">
        <v>349</v>
      </c>
      <c r="G83" s="6" t="s">
        <v>313</v>
      </c>
      <c r="H83" s="2"/>
    </row>
    <row r="84" customFormat="false" ht="35.05" hidden="false" customHeight="false" outlineLevel="0" collapsed="false">
      <c r="A84" s="2" t="n">
        <v>83</v>
      </c>
      <c r="B84" s="2" t="s">
        <v>308</v>
      </c>
      <c r="C84" s="2" t="s">
        <v>350</v>
      </c>
      <c r="D84" s="2" t="s">
        <v>351</v>
      </c>
      <c r="E84" s="2" t="s">
        <v>352</v>
      </c>
      <c r="F84" s="2" t="s">
        <v>353</v>
      </c>
      <c r="G84" s="6" t="s">
        <v>313</v>
      </c>
      <c r="H84" s="2"/>
    </row>
    <row r="85" customFormat="false" ht="35.05" hidden="false" customHeight="false" outlineLevel="0" collapsed="false">
      <c r="A85" s="2" t="n">
        <v>84</v>
      </c>
      <c r="B85" s="2" t="s">
        <v>308</v>
      </c>
      <c r="C85" s="2" t="s">
        <v>354</v>
      </c>
      <c r="D85" s="2" t="s">
        <v>355</v>
      </c>
      <c r="E85" s="2" t="s">
        <v>356</v>
      </c>
      <c r="F85" s="2" t="s">
        <v>357</v>
      </c>
      <c r="G85" s="6" t="s">
        <v>313</v>
      </c>
      <c r="H85" s="2"/>
    </row>
    <row r="86" customFormat="false" ht="35.05" hidden="false" customHeight="false" outlineLevel="0" collapsed="false">
      <c r="A86" s="2" t="n">
        <v>85</v>
      </c>
      <c r="B86" s="2" t="s">
        <v>358</v>
      </c>
      <c r="C86" s="2" t="s">
        <v>359</v>
      </c>
      <c r="D86" s="2" t="s">
        <v>360</v>
      </c>
      <c r="E86" s="2" t="s">
        <v>361</v>
      </c>
      <c r="F86" s="2" t="s">
        <v>362</v>
      </c>
      <c r="G86" s="6" t="s">
        <v>363</v>
      </c>
      <c r="H86" s="2"/>
    </row>
    <row r="87" customFormat="false" ht="35.05" hidden="false" customHeight="false" outlineLevel="0" collapsed="false">
      <c r="A87" s="2" t="n">
        <v>86</v>
      </c>
      <c r="B87" s="2" t="s">
        <v>358</v>
      </c>
      <c r="C87" s="2" t="s">
        <v>364</v>
      </c>
      <c r="D87" s="2" t="s">
        <v>365</v>
      </c>
      <c r="E87" s="2" t="s">
        <v>366</v>
      </c>
      <c r="F87" s="2" t="s">
        <v>367</v>
      </c>
      <c r="G87" s="6" t="s">
        <v>363</v>
      </c>
      <c r="H87" s="2"/>
    </row>
    <row r="88" customFormat="false" ht="35.05" hidden="false" customHeight="false" outlineLevel="0" collapsed="false">
      <c r="A88" s="2" t="n">
        <v>87</v>
      </c>
      <c r="B88" s="2" t="s">
        <v>358</v>
      </c>
      <c r="C88" s="2" t="s">
        <v>368</v>
      </c>
      <c r="D88" s="2" t="s">
        <v>369</v>
      </c>
      <c r="E88" s="2" t="s">
        <v>370</v>
      </c>
      <c r="F88" s="2" t="s">
        <v>371</v>
      </c>
      <c r="G88" s="6" t="s">
        <v>363</v>
      </c>
      <c r="H88" s="2"/>
    </row>
    <row r="89" customFormat="false" ht="35.05" hidden="false" customHeight="false" outlineLevel="0" collapsed="false">
      <c r="A89" s="2" t="n">
        <v>88</v>
      </c>
      <c r="B89" s="2" t="s">
        <v>358</v>
      </c>
      <c r="C89" s="2" t="s">
        <v>372</v>
      </c>
      <c r="D89" s="2" t="s">
        <v>373</v>
      </c>
      <c r="E89" s="2" t="s">
        <v>374</v>
      </c>
      <c r="F89" s="2" t="s">
        <v>375</v>
      </c>
      <c r="G89" s="6" t="s">
        <v>363</v>
      </c>
      <c r="H89" s="2"/>
    </row>
    <row r="90" customFormat="false" ht="35.05" hidden="false" customHeight="false" outlineLevel="0" collapsed="false">
      <c r="A90" s="2" t="n">
        <v>89</v>
      </c>
      <c r="B90" s="2" t="s">
        <v>358</v>
      </c>
      <c r="C90" s="2" t="s">
        <v>376</v>
      </c>
      <c r="D90" s="2" t="s">
        <v>377</v>
      </c>
      <c r="E90" s="2" t="s">
        <v>378</v>
      </c>
      <c r="F90" s="2" t="s">
        <v>379</v>
      </c>
      <c r="G90" s="6" t="s">
        <v>363</v>
      </c>
      <c r="H90" s="2"/>
    </row>
    <row r="91" customFormat="false" ht="46.25" hidden="false" customHeight="false" outlineLevel="0" collapsed="false">
      <c r="A91" s="2" t="n">
        <v>90</v>
      </c>
      <c r="B91" s="2" t="s">
        <v>358</v>
      </c>
      <c r="C91" s="2" t="s">
        <v>380</v>
      </c>
      <c r="D91" s="2" t="s">
        <v>381</v>
      </c>
      <c r="E91" s="2" t="s">
        <v>382</v>
      </c>
      <c r="F91" s="2" t="s">
        <v>383</v>
      </c>
      <c r="G91" s="6" t="s">
        <v>363</v>
      </c>
      <c r="H91" s="2"/>
    </row>
    <row r="92" customFormat="false" ht="35.05" hidden="false" customHeight="false" outlineLevel="0" collapsed="false">
      <c r="A92" s="2" t="n">
        <v>91</v>
      </c>
      <c r="B92" s="2" t="s">
        <v>358</v>
      </c>
      <c r="C92" s="2" t="s">
        <v>384</v>
      </c>
      <c r="D92" s="2" t="s">
        <v>385</v>
      </c>
      <c r="E92" s="2" t="s">
        <v>386</v>
      </c>
      <c r="F92" s="2" t="s">
        <v>387</v>
      </c>
      <c r="G92" s="6" t="s">
        <v>363</v>
      </c>
      <c r="H92" s="2"/>
    </row>
    <row r="93" customFormat="false" ht="35.05" hidden="false" customHeight="false" outlineLevel="0" collapsed="false">
      <c r="A93" s="2" t="n">
        <v>92</v>
      </c>
      <c r="B93" s="2" t="s">
        <v>358</v>
      </c>
      <c r="C93" s="2" t="s">
        <v>388</v>
      </c>
      <c r="D93" s="2" t="s">
        <v>389</v>
      </c>
      <c r="E93" s="2" t="s">
        <v>390</v>
      </c>
      <c r="F93" s="2" t="s">
        <v>391</v>
      </c>
      <c r="G93" s="6" t="s">
        <v>363</v>
      </c>
      <c r="H93" s="2"/>
    </row>
    <row r="94" customFormat="false" ht="35.05" hidden="false" customHeight="false" outlineLevel="0" collapsed="false">
      <c r="A94" s="2" t="n">
        <v>93</v>
      </c>
      <c r="B94" s="2" t="s">
        <v>392</v>
      </c>
      <c r="C94" s="2" t="s">
        <v>393</v>
      </c>
      <c r="D94" s="2" t="s">
        <v>394</v>
      </c>
      <c r="E94" s="2" t="s">
        <v>395</v>
      </c>
      <c r="F94" s="2" t="s">
        <v>396</v>
      </c>
      <c r="G94" s="3" t="s">
        <v>397</v>
      </c>
      <c r="H94" s="2"/>
    </row>
    <row r="95" customFormat="false" ht="35.05" hidden="false" customHeight="false" outlineLevel="0" collapsed="false">
      <c r="A95" s="2" t="n">
        <v>94</v>
      </c>
      <c r="B95" s="2" t="s">
        <v>392</v>
      </c>
      <c r="C95" s="2" t="s">
        <v>398</v>
      </c>
      <c r="D95" s="2" t="s">
        <v>399</v>
      </c>
      <c r="E95" s="2" t="s">
        <v>400</v>
      </c>
      <c r="F95" s="2" t="s">
        <v>401</v>
      </c>
      <c r="G95" s="3" t="s">
        <v>397</v>
      </c>
      <c r="H95" s="2"/>
    </row>
    <row r="96" customFormat="false" ht="35.05" hidden="false" customHeight="false" outlineLevel="0" collapsed="false">
      <c r="A96" s="2" t="n">
        <v>95</v>
      </c>
      <c r="B96" s="2" t="s">
        <v>392</v>
      </c>
      <c r="C96" s="2" t="s">
        <v>402</v>
      </c>
      <c r="D96" s="2" t="s">
        <v>403</v>
      </c>
      <c r="E96" s="2" t="s">
        <v>404</v>
      </c>
      <c r="F96" s="2" t="s">
        <v>405</v>
      </c>
      <c r="G96" s="7" t="s">
        <v>237</v>
      </c>
      <c r="H96" s="2"/>
    </row>
    <row r="97" customFormat="false" ht="35.05" hidden="false" customHeight="false" outlineLevel="0" collapsed="false">
      <c r="A97" s="2" t="n">
        <v>96</v>
      </c>
      <c r="B97" s="2" t="s">
        <v>392</v>
      </c>
      <c r="C97" s="2" t="s">
        <v>406</v>
      </c>
      <c r="D97" s="2" t="s">
        <v>407</v>
      </c>
      <c r="E97" s="2" t="s">
        <v>408</v>
      </c>
      <c r="F97" s="2" t="s">
        <v>409</v>
      </c>
      <c r="G97" s="7" t="s">
        <v>237</v>
      </c>
      <c r="H97" s="2"/>
    </row>
    <row r="98" customFormat="false" ht="35.05" hidden="false" customHeight="false" outlineLevel="0" collapsed="false">
      <c r="A98" s="2" t="n">
        <v>97</v>
      </c>
      <c r="B98" s="2" t="s">
        <v>392</v>
      </c>
      <c r="C98" s="2" t="s">
        <v>410</v>
      </c>
      <c r="D98" s="2" t="s">
        <v>411</v>
      </c>
      <c r="E98" s="2" t="s">
        <v>412</v>
      </c>
      <c r="F98" s="2" t="s">
        <v>413</v>
      </c>
      <c r="G98" s="3" t="s">
        <v>397</v>
      </c>
      <c r="H98" s="2"/>
    </row>
    <row r="99" customFormat="false" ht="35.05" hidden="false" customHeight="false" outlineLevel="0" collapsed="false">
      <c r="A99" s="2" t="n">
        <v>98</v>
      </c>
      <c r="B99" s="2" t="s">
        <v>392</v>
      </c>
      <c r="C99" s="2" t="s">
        <v>414</v>
      </c>
      <c r="D99" s="2" t="s">
        <v>415</v>
      </c>
      <c r="E99" s="2" t="s">
        <v>416</v>
      </c>
      <c r="F99" s="2" t="s">
        <v>417</v>
      </c>
      <c r="G99" s="3" t="s">
        <v>397</v>
      </c>
      <c r="H99" s="2"/>
    </row>
    <row r="100" customFormat="false" ht="35.05" hidden="false" customHeight="false" outlineLevel="0" collapsed="false">
      <c r="A100" s="2" t="n">
        <v>99</v>
      </c>
      <c r="B100" s="2" t="s">
        <v>392</v>
      </c>
      <c r="C100" s="2" t="s">
        <v>418</v>
      </c>
      <c r="D100" s="2" t="s">
        <v>419</v>
      </c>
      <c r="E100" s="2" t="s">
        <v>420</v>
      </c>
      <c r="F100" s="2" t="s">
        <v>421</v>
      </c>
      <c r="G100" s="3" t="s">
        <v>397</v>
      </c>
      <c r="H100" s="2"/>
    </row>
    <row r="101" customFormat="false" ht="35.05" hidden="false" customHeight="false" outlineLevel="0" collapsed="false">
      <c r="A101" s="2" t="n">
        <v>100</v>
      </c>
      <c r="B101" s="2" t="s">
        <v>392</v>
      </c>
      <c r="C101" s="2" t="s">
        <v>422</v>
      </c>
      <c r="D101" s="2" t="s">
        <v>423</v>
      </c>
      <c r="E101" s="2" t="s">
        <v>424</v>
      </c>
      <c r="F101" s="2" t="s">
        <v>425</v>
      </c>
      <c r="G101" s="3" t="s">
        <v>397</v>
      </c>
      <c r="H101" s="2"/>
    </row>
    <row r="102" customFormat="false" ht="35.05" hidden="false" customHeight="false" outlineLevel="0" collapsed="false">
      <c r="A102" s="2" t="n">
        <v>101</v>
      </c>
      <c r="B102" s="2" t="s">
        <v>392</v>
      </c>
      <c r="C102" s="2" t="s">
        <v>426</v>
      </c>
      <c r="D102" s="2" t="s">
        <v>427</v>
      </c>
      <c r="E102" s="2" t="s">
        <v>428</v>
      </c>
      <c r="F102" s="2" t="s">
        <v>429</v>
      </c>
      <c r="G102" s="3" t="s">
        <v>397</v>
      </c>
      <c r="H102" s="2"/>
    </row>
    <row r="103" customFormat="false" ht="46.25" hidden="false" customHeight="false" outlineLevel="0" collapsed="false">
      <c r="A103" s="2" t="n">
        <v>102</v>
      </c>
      <c r="B103" s="2" t="s">
        <v>392</v>
      </c>
      <c r="C103" s="2" t="s">
        <v>430</v>
      </c>
      <c r="D103" s="2" t="s">
        <v>431</v>
      </c>
      <c r="E103" s="2" t="s">
        <v>432</v>
      </c>
      <c r="F103" s="2" t="s">
        <v>433</v>
      </c>
      <c r="G103" s="3" t="s">
        <v>397</v>
      </c>
      <c r="H103" s="2"/>
    </row>
    <row r="104" customFormat="false" ht="35.05" hidden="false" customHeight="false" outlineLevel="0" collapsed="false">
      <c r="A104" s="2" t="n">
        <v>103</v>
      </c>
      <c r="B104" s="2" t="s">
        <v>434</v>
      </c>
      <c r="C104" s="2" t="s">
        <v>435</v>
      </c>
      <c r="D104" s="2" t="s">
        <v>436</v>
      </c>
      <c r="E104" s="2" t="s">
        <v>437</v>
      </c>
      <c r="F104" s="2" t="s">
        <v>438</v>
      </c>
      <c r="G104" s="3" t="s">
        <v>397</v>
      </c>
      <c r="H104" s="2"/>
    </row>
    <row r="105" customFormat="false" ht="35.05" hidden="false" customHeight="false" outlineLevel="0" collapsed="false">
      <c r="A105" s="2" t="n">
        <v>104</v>
      </c>
      <c r="B105" s="2" t="s">
        <v>434</v>
      </c>
      <c r="C105" s="2" t="s">
        <v>439</v>
      </c>
      <c r="D105" s="2" t="s">
        <v>440</v>
      </c>
      <c r="E105" s="2" t="s">
        <v>441</v>
      </c>
      <c r="F105" s="2" t="s">
        <v>442</v>
      </c>
      <c r="G105" s="7" t="s">
        <v>237</v>
      </c>
      <c r="H105" s="2"/>
    </row>
    <row r="106" customFormat="false" ht="35.05" hidden="false" customHeight="false" outlineLevel="0" collapsed="false">
      <c r="A106" s="2" t="n">
        <v>105</v>
      </c>
      <c r="B106" s="2" t="s">
        <v>434</v>
      </c>
      <c r="C106" s="2" t="s">
        <v>443</v>
      </c>
      <c r="D106" s="2" t="s">
        <v>444</v>
      </c>
      <c r="E106" s="2" t="s">
        <v>445</v>
      </c>
      <c r="F106" s="2" t="s">
        <v>446</v>
      </c>
      <c r="G106" s="3" t="s">
        <v>397</v>
      </c>
      <c r="H106" s="2"/>
    </row>
    <row r="107" customFormat="false" ht="35.05" hidden="false" customHeight="false" outlineLevel="0" collapsed="false">
      <c r="A107" s="2" t="n">
        <v>106</v>
      </c>
      <c r="B107" s="2" t="s">
        <v>434</v>
      </c>
      <c r="C107" s="2" t="s">
        <v>447</v>
      </c>
      <c r="D107" s="2" t="s">
        <v>448</v>
      </c>
      <c r="E107" s="2" t="s">
        <v>449</v>
      </c>
      <c r="F107" s="2" t="s">
        <v>450</v>
      </c>
      <c r="G107" s="3" t="s">
        <v>397</v>
      </c>
      <c r="H107" s="2"/>
    </row>
    <row r="108" customFormat="false" ht="35.05" hidden="false" customHeight="false" outlineLevel="0" collapsed="false">
      <c r="A108" s="2" t="n">
        <v>107</v>
      </c>
      <c r="B108" s="2" t="s">
        <v>434</v>
      </c>
      <c r="C108" s="2" t="s">
        <v>451</v>
      </c>
      <c r="D108" s="2" t="s">
        <v>452</v>
      </c>
      <c r="E108" s="2" t="s">
        <v>453</v>
      </c>
      <c r="F108" s="2" t="s">
        <v>454</v>
      </c>
      <c r="G108" s="3" t="s">
        <v>397</v>
      </c>
      <c r="H108" s="2"/>
    </row>
    <row r="109" customFormat="false" ht="35.05" hidden="false" customHeight="false" outlineLevel="0" collapsed="false">
      <c r="A109" s="2" t="n">
        <v>108</v>
      </c>
      <c r="B109" s="2" t="s">
        <v>434</v>
      </c>
      <c r="C109" s="2" t="s">
        <v>455</v>
      </c>
      <c r="D109" s="2" t="s">
        <v>456</v>
      </c>
      <c r="E109" s="2" t="s">
        <v>457</v>
      </c>
      <c r="F109" s="2" t="s">
        <v>458</v>
      </c>
      <c r="G109" s="3" t="s">
        <v>397</v>
      </c>
      <c r="H109" s="2"/>
    </row>
    <row r="110" customFormat="false" ht="35.05" hidden="false" customHeight="false" outlineLevel="0" collapsed="false">
      <c r="A110" s="2" t="n">
        <v>109</v>
      </c>
      <c r="B110" s="2" t="s">
        <v>459</v>
      </c>
      <c r="C110" s="2" t="s">
        <v>460</v>
      </c>
      <c r="D110" s="2" t="s">
        <v>461</v>
      </c>
      <c r="E110" s="2" t="s">
        <v>462</v>
      </c>
      <c r="F110" s="2" t="s">
        <v>463</v>
      </c>
      <c r="G110" s="3" t="s">
        <v>397</v>
      </c>
      <c r="H110" s="2"/>
    </row>
    <row r="111" customFormat="false" ht="35.05" hidden="false" customHeight="false" outlineLevel="0" collapsed="false">
      <c r="A111" s="2" t="n">
        <v>110</v>
      </c>
      <c r="B111" s="2" t="s">
        <v>459</v>
      </c>
      <c r="C111" s="2" t="s">
        <v>464</v>
      </c>
      <c r="D111" s="2" t="s">
        <v>465</v>
      </c>
      <c r="E111" s="2" t="s">
        <v>466</v>
      </c>
      <c r="F111" s="2" t="s">
        <v>467</v>
      </c>
      <c r="G111" s="3" t="s">
        <v>397</v>
      </c>
      <c r="H111" s="2"/>
    </row>
    <row r="112" customFormat="false" ht="35.05" hidden="false" customHeight="false" outlineLevel="0" collapsed="false">
      <c r="A112" s="2" t="n">
        <v>111</v>
      </c>
      <c r="B112" s="2" t="s">
        <v>459</v>
      </c>
      <c r="C112" s="2" t="s">
        <v>468</v>
      </c>
      <c r="D112" s="2" t="s">
        <v>469</v>
      </c>
      <c r="E112" s="2" t="s">
        <v>470</v>
      </c>
      <c r="F112" s="2" t="s">
        <v>471</v>
      </c>
      <c r="G112" s="3" t="s">
        <v>397</v>
      </c>
      <c r="H112" s="2"/>
    </row>
    <row r="113" customFormat="false" ht="35.05" hidden="false" customHeight="false" outlineLevel="0" collapsed="false">
      <c r="A113" s="2" t="n">
        <v>112</v>
      </c>
      <c r="B113" s="2" t="s">
        <v>459</v>
      </c>
      <c r="C113" s="2" t="s">
        <v>472</v>
      </c>
      <c r="D113" s="2" t="s">
        <v>473</v>
      </c>
      <c r="E113" s="2" t="s">
        <v>474</v>
      </c>
      <c r="F113" s="2" t="s">
        <v>475</v>
      </c>
      <c r="G113" s="3" t="s">
        <v>397</v>
      </c>
      <c r="H113" s="2"/>
    </row>
    <row r="114" customFormat="false" ht="35.05" hidden="false" customHeight="false" outlineLevel="0" collapsed="false">
      <c r="A114" s="2" t="n">
        <v>113</v>
      </c>
      <c r="B114" s="2" t="s">
        <v>459</v>
      </c>
      <c r="C114" s="2" t="s">
        <v>476</v>
      </c>
      <c r="D114" s="2" t="s">
        <v>477</v>
      </c>
      <c r="E114" s="2" t="s">
        <v>478</v>
      </c>
      <c r="F114" s="2" t="s">
        <v>479</v>
      </c>
      <c r="G114" s="3" t="s">
        <v>397</v>
      </c>
      <c r="H114" s="2"/>
    </row>
    <row r="115" customFormat="false" ht="35.05" hidden="false" customHeight="false" outlineLevel="0" collapsed="false">
      <c r="A115" s="2" t="n">
        <v>114</v>
      </c>
      <c r="B115" s="2" t="s">
        <v>459</v>
      </c>
      <c r="C115" s="2" t="s">
        <v>480</v>
      </c>
      <c r="D115" s="2" t="s">
        <v>481</v>
      </c>
      <c r="E115" s="2" t="s">
        <v>482</v>
      </c>
      <c r="F115" s="2" t="s">
        <v>483</v>
      </c>
      <c r="G115" s="3" t="s">
        <v>397</v>
      </c>
      <c r="H115" s="2"/>
    </row>
    <row r="116" customFormat="false" ht="35.05" hidden="false" customHeight="false" outlineLevel="0" collapsed="false">
      <c r="A116" s="2" t="n">
        <v>115</v>
      </c>
      <c r="B116" s="2" t="s">
        <v>459</v>
      </c>
      <c r="C116" s="2" t="s">
        <v>484</v>
      </c>
      <c r="D116" s="2" t="s">
        <v>485</v>
      </c>
      <c r="E116" s="2" t="s">
        <v>486</v>
      </c>
      <c r="F116" s="2" t="s">
        <v>487</v>
      </c>
      <c r="G116" s="3" t="s">
        <v>397</v>
      </c>
      <c r="H116" s="2"/>
    </row>
    <row r="117" customFormat="false" ht="35.05" hidden="false" customHeight="false" outlineLevel="0" collapsed="false">
      <c r="A117" s="2" t="n">
        <v>116</v>
      </c>
      <c r="B117" s="2" t="s">
        <v>459</v>
      </c>
      <c r="C117" s="2" t="s">
        <v>488</v>
      </c>
      <c r="D117" s="2" t="s">
        <v>489</v>
      </c>
      <c r="E117" s="2" t="s">
        <v>490</v>
      </c>
      <c r="F117" s="2" t="s">
        <v>491</v>
      </c>
      <c r="G117" s="3" t="s">
        <v>397</v>
      </c>
      <c r="H117" s="2"/>
    </row>
    <row r="118" customFormat="false" ht="35.05" hidden="false" customHeight="false" outlineLevel="0" collapsed="false">
      <c r="A118" s="2" t="n">
        <v>117</v>
      </c>
      <c r="B118" s="2" t="s">
        <v>459</v>
      </c>
      <c r="C118" s="2" t="s">
        <v>492</v>
      </c>
      <c r="D118" s="2" t="s">
        <v>493</v>
      </c>
      <c r="E118" s="2" t="s">
        <v>494</v>
      </c>
      <c r="F118" s="2" t="s">
        <v>495</v>
      </c>
      <c r="G118" s="7" t="s">
        <v>237</v>
      </c>
      <c r="H118" s="2"/>
    </row>
    <row r="119" customFormat="false" ht="35.05" hidden="false" customHeight="false" outlineLevel="0" collapsed="false">
      <c r="A119" s="2" t="n">
        <v>118</v>
      </c>
      <c r="B119" s="2" t="s">
        <v>459</v>
      </c>
      <c r="C119" s="2" t="s">
        <v>496</v>
      </c>
      <c r="D119" s="2" t="s">
        <v>497</v>
      </c>
      <c r="E119" s="2" t="s">
        <v>498</v>
      </c>
      <c r="F119" s="2" t="s">
        <v>499</v>
      </c>
      <c r="G119" s="3" t="s">
        <v>397</v>
      </c>
      <c r="H119" s="2"/>
    </row>
    <row r="120" customFormat="false" ht="23.85" hidden="false" customHeight="false" outlineLevel="0" collapsed="false">
      <c r="A120" s="2" t="n">
        <v>119</v>
      </c>
      <c r="B120" s="2" t="s">
        <v>459</v>
      </c>
      <c r="C120" s="2" t="s">
        <v>500</v>
      </c>
      <c r="D120" s="2" t="s">
        <v>501</v>
      </c>
      <c r="E120" s="2" t="s">
        <v>502</v>
      </c>
      <c r="F120" s="2" t="s">
        <v>503</v>
      </c>
      <c r="G120" s="3" t="s">
        <v>397</v>
      </c>
      <c r="H120" s="2"/>
    </row>
    <row r="121" customFormat="false" ht="35.05" hidden="false" customHeight="false" outlineLevel="0" collapsed="false">
      <c r="A121" s="2" t="n">
        <v>120</v>
      </c>
      <c r="B121" s="2" t="s">
        <v>459</v>
      </c>
      <c r="C121" s="2" t="s">
        <v>504</v>
      </c>
      <c r="D121" s="2" t="s">
        <v>505</v>
      </c>
      <c r="E121" s="2" t="s">
        <v>506</v>
      </c>
      <c r="F121" s="2" t="s">
        <v>507</v>
      </c>
      <c r="G121" s="3" t="s">
        <v>397</v>
      </c>
      <c r="H121" s="2"/>
    </row>
    <row r="122" customFormat="false" ht="35.05" hidden="false" customHeight="false" outlineLevel="0" collapsed="false">
      <c r="A122" s="2" t="n">
        <v>121</v>
      </c>
      <c r="B122" s="2" t="s">
        <v>459</v>
      </c>
      <c r="C122" s="2" t="s">
        <v>508</v>
      </c>
      <c r="D122" s="2" t="s">
        <v>509</v>
      </c>
      <c r="E122" s="2" t="s">
        <v>510</v>
      </c>
      <c r="F122" s="2" t="s">
        <v>511</v>
      </c>
      <c r="G122" s="3" t="s">
        <v>397</v>
      </c>
      <c r="H122" s="2"/>
    </row>
    <row r="123" customFormat="false" ht="35.05" hidden="false" customHeight="false" outlineLevel="0" collapsed="false">
      <c r="A123" s="2" t="n">
        <v>122</v>
      </c>
      <c r="B123" s="2" t="s">
        <v>459</v>
      </c>
      <c r="C123" s="2" t="s">
        <v>512</v>
      </c>
      <c r="D123" s="2" t="s">
        <v>513</v>
      </c>
      <c r="E123" s="2" t="s">
        <v>514</v>
      </c>
      <c r="F123" s="2" t="s">
        <v>515</v>
      </c>
      <c r="G123" s="3" t="s">
        <v>397</v>
      </c>
      <c r="H123" s="2"/>
    </row>
    <row r="124" customFormat="false" ht="35.05" hidden="false" customHeight="false" outlineLevel="0" collapsed="false">
      <c r="A124" s="2" t="n">
        <v>123</v>
      </c>
      <c r="B124" s="2" t="s">
        <v>516</v>
      </c>
      <c r="C124" s="2" t="s">
        <v>517</v>
      </c>
      <c r="D124" s="2" t="s">
        <v>518</v>
      </c>
      <c r="E124" s="2" t="s">
        <v>519</v>
      </c>
      <c r="F124" s="2" t="s">
        <v>520</v>
      </c>
      <c r="G124" s="3" t="s">
        <v>397</v>
      </c>
      <c r="H124" s="2"/>
    </row>
    <row r="125" customFormat="false" ht="35.05" hidden="false" customHeight="false" outlineLevel="0" collapsed="false">
      <c r="A125" s="2" t="n">
        <v>124</v>
      </c>
      <c r="B125" s="2" t="s">
        <v>516</v>
      </c>
      <c r="C125" s="2" t="s">
        <v>521</v>
      </c>
      <c r="D125" s="2" t="s">
        <v>522</v>
      </c>
      <c r="E125" s="2" t="s">
        <v>523</v>
      </c>
      <c r="F125" s="2" t="s">
        <v>524</v>
      </c>
      <c r="G125" s="3" t="s">
        <v>397</v>
      </c>
      <c r="H125" s="2"/>
    </row>
    <row r="126" customFormat="false" ht="35.05" hidden="false" customHeight="false" outlineLevel="0" collapsed="false">
      <c r="A126" s="2" t="n">
        <v>125</v>
      </c>
      <c r="B126" s="2" t="s">
        <v>516</v>
      </c>
      <c r="C126" s="2" t="s">
        <v>525</v>
      </c>
      <c r="D126" s="2" t="s">
        <v>526</v>
      </c>
      <c r="E126" s="2" t="s">
        <v>527</v>
      </c>
      <c r="F126" s="2" t="s">
        <v>528</v>
      </c>
      <c r="G126" s="3" t="s">
        <v>397</v>
      </c>
      <c r="H126" s="2"/>
    </row>
    <row r="127" customFormat="false" ht="35.05" hidden="false" customHeight="false" outlineLevel="0" collapsed="false">
      <c r="A127" s="2" t="n">
        <v>126</v>
      </c>
      <c r="B127" s="2" t="s">
        <v>516</v>
      </c>
      <c r="C127" s="2" t="s">
        <v>529</v>
      </c>
      <c r="D127" s="2" t="s">
        <v>530</v>
      </c>
      <c r="E127" s="2" t="s">
        <v>531</v>
      </c>
      <c r="F127" s="2" t="s">
        <v>532</v>
      </c>
      <c r="G127" s="3" t="s">
        <v>397</v>
      </c>
      <c r="H127" s="2"/>
    </row>
    <row r="128" customFormat="false" ht="35.05" hidden="false" customHeight="false" outlineLevel="0" collapsed="false">
      <c r="A128" s="2" t="n">
        <v>127</v>
      </c>
      <c r="B128" s="2" t="s">
        <v>516</v>
      </c>
      <c r="C128" s="2" t="s">
        <v>533</v>
      </c>
      <c r="D128" s="2" t="s">
        <v>534</v>
      </c>
      <c r="E128" s="2" t="s">
        <v>535</v>
      </c>
      <c r="F128" s="2" t="s">
        <v>536</v>
      </c>
      <c r="G128" s="3" t="s">
        <v>397</v>
      </c>
      <c r="H128" s="2"/>
    </row>
    <row r="129" customFormat="false" ht="35.05" hidden="false" customHeight="false" outlineLevel="0" collapsed="false">
      <c r="A129" s="2" t="n">
        <v>128</v>
      </c>
      <c r="B129" s="2" t="s">
        <v>516</v>
      </c>
      <c r="C129" s="2" t="s">
        <v>537</v>
      </c>
      <c r="D129" s="2" t="s">
        <v>538</v>
      </c>
      <c r="E129" s="2" t="s">
        <v>539</v>
      </c>
      <c r="F129" s="2" t="s">
        <v>540</v>
      </c>
      <c r="G129" s="3" t="s">
        <v>397</v>
      </c>
      <c r="H129" s="2"/>
    </row>
    <row r="130" customFormat="false" ht="35.05" hidden="false" customHeight="false" outlineLevel="0" collapsed="false">
      <c r="A130" s="2" t="n">
        <v>129</v>
      </c>
      <c r="B130" s="2" t="s">
        <v>516</v>
      </c>
      <c r="C130" s="2" t="s">
        <v>541</v>
      </c>
      <c r="D130" s="2" t="s">
        <v>542</v>
      </c>
      <c r="E130" s="2" t="s">
        <v>543</v>
      </c>
      <c r="F130" s="2" t="s">
        <v>544</v>
      </c>
      <c r="G130" s="3" t="s">
        <v>397</v>
      </c>
      <c r="H130" s="2"/>
    </row>
    <row r="131" customFormat="false" ht="35.05" hidden="false" customHeight="false" outlineLevel="0" collapsed="false">
      <c r="A131" s="2" t="n">
        <v>130</v>
      </c>
      <c r="B131" s="2" t="s">
        <v>516</v>
      </c>
      <c r="C131" s="2" t="s">
        <v>545</v>
      </c>
      <c r="D131" s="2" t="s">
        <v>546</v>
      </c>
      <c r="E131" s="2" t="s">
        <v>547</v>
      </c>
      <c r="F131" s="2" t="s">
        <v>548</v>
      </c>
      <c r="G131" s="3" t="s">
        <v>397</v>
      </c>
      <c r="H131" s="2"/>
    </row>
    <row r="132" customFormat="false" ht="35.05" hidden="false" customHeight="false" outlineLevel="0" collapsed="false">
      <c r="A132" s="2" t="n">
        <v>131</v>
      </c>
      <c r="B132" s="2" t="s">
        <v>516</v>
      </c>
      <c r="C132" s="2" t="s">
        <v>549</v>
      </c>
      <c r="D132" s="2" t="s">
        <v>550</v>
      </c>
      <c r="E132" s="2" t="s">
        <v>551</v>
      </c>
      <c r="F132" s="2" t="s">
        <v>552</v>
      </c>
      <c r="G132" s="3" t="s">
        <v>397</v>
      </c>
      <c r="H132" s="2"/>
    </row>
    <row r="133" customFormat="false" ht="35.05" hidden="false" customHeight="false" outlineLevel="0" collapsed="false">
      <c r="A133" s="2" t="n">
        <v>132</v>
      </c>
      <c r="B133" s="2" t="s">
        <v>516</v>
      </c>
      <c r="C133" s="2" t="s">
        <v>553</v>
      </c>
      <c r="D133" s="2" t="s">
        <v>554</v>
      </c>
      <c r="E133" s="2" t="s">
        <v>555</v>
      </c>
      <c r="F133" s="2" t="s">
        <v>556</v>
      </c>
      <c r="G133" s="3" t="s">
        <v>397</v>
      </c>
      <c r="H133" s="2"/>
    </row>
    <row r="134" customFormat="false" ht="35.05" hidden="false" customHeight="false" outlineLevel="0" collapsed="false">
      <c r="A134" s="2" t="n">
        <v>133</v>
      </c>
      <c r="B134" s="2" t="s">
        <v>557</v>
      </c>
      <c r="C134" s="2" t="s">
        <v>558</v>
      </c>
      <c r="D134" s="2" t="s">
        <v>559</v>
      </c>
      <c r="E134" s="2" t="s">
        <v>560</v>
      </c>
      <c r="F134" s="2" t="s">
        <v>561</v>
      </c>
      <c r="G134" s="9" t="s">
        <v>562</v>
      </c>
      <c r="H134" s="2"/>
    </row>
    <row r="135" customFormat="false" ht="35.05" hidden="false" customHeight="false" outlineLevel="0" collapsed="false">
      <c r="A135" s="2" t="n">
        <v>134</v>
      </c>
      <c r="B135" s="2" t="s">
        <v>557</v>
      </c>
      <c r="C135" s="2" t="s">
        <v>563</v>
      </c>
      <c r="D135" s="2" t="s">
        <v>564</v>
      </c>
      <c r="E135" s="2" t="s">
        <v>565</v>
      </c>
      <c r="F135" s="2" t="s">
        <v>566</v>
      </c>
      <c r="G135" s="9" t="s">
        <v>562</v>
      </c>
      <c r="H135" s="2"/>
    </row>
    <row r="136" customFormat="false" ht="35.05" hidden="false" customHeight="false" outlineLevel="0" collapsed="false">
      <c r="A136" s="2" t="n">
        <v>135</v>
      </c>
      <c r="B136" s="2" t="s">
        <v>557</v>
      </c>
      <c r="C136" s="2" t="s">
        <v>567</v>
      </c>
      <c r="D136" s="2" t="s">
        <v>568</v>
      </c>
      <c r="E136" s="2" t="s">
        <v>569</v>
      </c>
      <c r="F136" s="2" t="s">
        <v>570</v>
      </c>
      <c r="G136" s="9" t="s">
        <v>562</v>
      </c>
      <c r="H136" s="2"/>
    </row>
    <row r="137" customFormat="false" ht="35.05" hidden="false" customHeight="false" outlineLevel="0" collapsed="false">
      <c r="A137" s="2" t="n">
        <v>136</v>
      </c>
      <c r="B137" s="2" t="s">
        <v>557</v>
      </c>
      <c r="C137" s="2" t="s">
        <v>571</v>
      </c>
      <c r="D137" s="2" t="s">
        <v>572</v>
      </c>
      <c r="E137" s="2" t="s">
        <v>573</v>
      </c>
      <c r="F137" s="2" t="s">
        <v>574</v>
      </c>
      <c r="G137" s="9" t="s">
        <v>562</v>
      </c>
      <c r="H137" s="2"/>
    </row>
    <row r="138" customFormat="false" ht="35.05" hidden="false" customHeight="false" outlineLevel="0" collapsed="false">
      <c r="A138" s="2" t="n">
        <v>137</v>
      </c>
      <c r="B138" s="2" t="s">
        <v>557</v>
      </c>
      <c r="C138" s="2" t="s">
        <v>575</v>
      </c>
      <c r="D138" s="2" t="s">
        <v>576</v>
      </c>
      <c r="E138" s="2" t="s">
        <v>577</v>
      </c>
      <c r="F138" s="2" t="s">
        <v>578</v>
      </c>
      <c r="G138" s="9" t="s">
        <v>562</v>
      </c>
      <c r="H138" s="2"/>
    </row>
    <row r="139" customFormat="false" ht="35.05" hidden="false" customHeight="false" outlineLevel="0" collapsed="false">
      <c r="A139" s="2" t="n">
        <v>138</v>
      </c>
      <c r="B139" s="2" t="s">
        <v>557</v>
      </c>
      <c r="C139" s="2" t="s">
        <v>579</v>
      </c>
      <c r="D139" s="2" t="s">
        <v>580</v>
      </c>
      <c r="E139" s="2" t="s">
        <v>581</v>
      </c>
      <c r="F139" s="2" t="s">
        <v>582</v>
      </c>
      <c r="G139" s="9" t="s">
        <v>562</v>
      </c>
      <c r="H139" s="2"/>
    </row>
    <row r="140" customFormat="false" ht="35.05" hidden="false" customHeight="false" outlineLevel="0" collapsed="false">
      <c r="A140" s="2" t="n">
        <v>139</v>
      </c>
      <c r="B140" s="2" t="s">
        <v>557</v>
      </c>
      <c r="C140" s="2" t="s">
        <v>583</v>
      </c>
      <c r="D140" s="2" t="s">
        <v>584</v>
      </c>
      <c r="E140" s="2" t="s">
        <v>585</v>
      </c>
      <c r="F140" s="2" t="s">
        <v>586</v>
      </c>
      <c r="G140" s="9" t="s">
        <v>562</v>
      </c>
      <c r="H140" s="2"/>
    </row>
    <row r="141" customFormat="false" ht="35.05" hidden="false" customHeight="false" outlineLevel="0" collapsed="false">
      <c r="A141" s="2" t="n">
        <v>140</v>
      </c>
      <c r="B141" s="2" t="s">
        <v>557</v>
      </c>
      <c r="C141" s="2" t="s">
        <v>587</v>
      </c>
      <c r="D141" s="2" t="s">
        <v>588</v>
      </c>
      <c r="E141" s="2" t="s">
        <v>589</v>
      </c>
      <c r="F141" s="2" t="s">
        <v>590</v>
      </c>
      <c r="G141" s="7" t="s">
        <v>237</v>
      </c>
      <c r="H141" s="2"/>
    </row>
    <row r="142" customFormat="false" ht="46.25" hidden="false" customHeight="false" outlineLevel="0" collapsed="false">
      <c r="A142" s="2" t="n">
        <v>141</v>
      </c>
      <c r="B142" s="2" t="s">
        <v>557</v>
      </c>
      <c r="C142" s="2" t="s">
        <v>591</v>
      </c>
      <c r="D142" s="2" t="s">
        <v>592</v>
      </c>
      <c r="E142" s="2" t="s">
        <v>593</v>
      </c>
      <c r="F142" s="2" t="s">
        <v>594</v>
      </c>
      <c r="G142" s="9" t="s">
        <v>562</v>
      </c>
      <c r="H142" s="2"/>
    </row>
    <row r="143" customFormat="false" ht="35.05" hidden="false" customHeight="false" outlineLevel="0" collapsed="false">
      <c r="A143" s="2" t="n">
        <v>142</v>
      </c>
      <c r="B143" s="2" t="s">
        <v>557</v>
      </c>
      <c r="C143" s="2" t="s">
        <v>595</v>
      </c>
      <c r="D143" s="2" t="s">
        <v>596</v>
      </c>
      <c r="E143" s="2" t="s">
        <v>597</v>
      </c>
      <c r="F143" s="2" t="s">
        <v>598</v>
      </c>
      <c r="G143" s="9" t="s">
        <v>562</v>
      </c>
      <c r="H143" s="2"/>
    </row>
    <row r="144" customFormat="false" ht="35.05" hidden="false" customHeight="false" outlineLevel="0" collapsed="false">
      <c r="A144" s="2" t="n">
        <v>143</v>
      </c>
      <c r="B144" s="2" t="s">
        <v>557</v>
      </c>
      <c r="C144" s="2" t="s">
        <v>599</v>
      </c>
      <c r="D144" s="2" t="s">
        <v>600</v>
      </c>
      <c r="E144" s="2" t="s">
        <v>601</v>
      </c>
      <c r="F144" s="2" t="s">
        <v>602</v>
      </c>
      <c r="G144" s="9" t="s">
        <v>562</v>
      </c>
      <c r="H144" s="2"/>
    </row>
    <row r="145" customFormat="false" ht="35.05" hidden="false" customHeight="false" outlineLevel="0" collapsed="false">
      <c r="A145" s="2" t="n">
        <v>144</v>
      </c>
      <c r="B145" s="2" t="s">
        <v>557</v>
      </c>
      <c r="C145" s="2" t="s">
        <v>603</v>
      </c>
      <c r="D145" s="2" t="s">
        <v>604</v>
      </c>
      <c r="E145" s="2" t="s">
        <v>605</v>
      </c>
      <c r="F145" s="2" t="s">
        <v>606</v>
      </c>
      <c r="G145" s="9" t="s">
        <v>562</v>
      </c>
      <c r="H145" s="2"/>
    </row>
    <row r="146" customFormat="false" ht="46.25" hidden="false" customHeight="false" outlineLevel="0" collapsed="false">
      <c r="A146" s="2" t="n">
        <v>145</v>
      </c>
      <c r="B146" s="2" t="s">
        <v>557</v>
      </c>
      <c r="C146" s="2" t="s">
        <v>607</v>
      </c>
      <c r="D146" s="2" t="s">
        <v>608</v>
      </c>
      <c r="E146" s="2" t="s">
        <v>609</v>
      </c>
      <c r="F146" s="2" t="s">
        <v>610</v>
      </c>
      <c r="G146" s="9" t="s">
        <v>562</v>
      </c>
      <c r="H146" s="2"/>
    </row>
    <row r="147" customFormat="false" ht="57.45" hidden="false" customHeight="false" outlineLevel="0" collapsed="false">
      <c r="A147" s="2" t="n">
        <v>146</v>
      </c>
      <c r="B147" s="2" t="s">
        <v>611</v>
      </c>
      <c r="C147" s="2" t="s">
        <v>612</v>
      </c>
      <c r="D147" s="2" t="s">
        <v>613</v>
      </c>
      <c r="E147" s="2" t="s">
        <v>614</v>
      </c>
      <c r="F147" s="2" t="s">
        <v>615</v>
      </c>
      <c r="G147" s="9" t="s">
        <v>616</v>
      </c>
      <c r="H147" s="2"/>
    </row>
    <row r="148" customFormat="false" ht="35.05" hidden="false" customHeight="false" outlineLevel="0" collapsed="false">
      <c r="A148" s="2" t="n">
        <v>147</v>
      </c>
      <c r="B148" s="2" t="s">
        <v>611</v>
      </c>
      <c r="C148" s="2" t="s">
        <v>617</v>
      </c>
      <c r="D148" s="2" t="s">
        <v>618</v>
      </c>
      <c r="E148" s="2" t="s">
        <v>619</v>
      </c>
      <c r="F148" s="2" t="s">
        <v>620</v>
      </c>
      <c r="G148" s="9" t="s">
        <v>616</v>
      </c>
      <c r="H148" s="2"/>
    </row>
    <row r="149" customFormat="false" ht="46.25" hidden="false" customHeight="false" outlineLevel="0" collapsed="false">
      <c r="A149" s="2" t="n">
        <v>148</v>
      </c>
      <c r="B149" s="2" t="s">
        <v>611</v>
      </c>
      <c r="C149" s="2" t="s">
        <v>621</v>
      </c>
      <c r="D149" s="2" t="s">
        <v>622</v>
      </c>
      <c r="E149" s="2" t="s">
        <v>623</v>
      </c>
      <c r="F149" s="2" t="s">
        <v>624</v>
      </c>
      <c r="G149" s="9" t="s">
        <v>616</v>
      </c>
      <c r="H149" s="2"/>
    </row>
    <row r="150" customFormat="false" ht="35.05" hidden="false" customHeight="false" outlineLevel="0" collapsed="false">
      <c r="A150" s="2" t="n">
        <v>149</v>
      </c>
      <c r="B150" s="2" t="s">
        <v>611</v>
      </c>
      <c r="C150" s="2" t="s">
        <v>625</v>
      </c>
      <c r="D150" s="2" t="s">
        <v>626</v>
      </c>
      <c r="E150" s="2" t="s">
        <v>627</v>
      </c>
      <c r="F150" s="2" t="s">
        <v>628</v>
      </c>
      <c r="G150" s="7" t="s">
        <v>237</v>
      </c>
      <c r="H150" s="2"/>
    </row>
    <row r="151" customFormat="false" ht="46.25" hidden="false" customHeight="false" outlineLevel="0" collapsed="false">
      <c r="A151" s="2" t="n">
        <v>150</v>
      </c>
      <c r="B151" s="2" t="s">
        <v>611</v>
      </c>
      <c r="C151" s="2" t="s">
        <v>629</v>
      </c>
      <c r="D151" s="2" t="s">
        <v>630</v>
      </c>
      <c r="E151" s="2" t="s">
        <v>631</v>
      </c>
      <c r="F151" s="2" t="s">
        <v>632</v>
      </c>
      <c r="G151" s="9" t="s">
        <v>616</v>
      </c>
      <c r="H15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1</v>
      </c>
      <c r="B1" s="1" t="s">
        <v>633</v>
      </c>
      <c r="C1" s="1" t="s">
        <v>634</v>
      </c>
    </row>
    <row r="2" customFormat="false" ht="15" hidden="false" customHeight="false" outlineLevel="0" collapsed="false">
      <c r="A2" s="2" t="s">
        <v>8</v>
      </c>
      <c r="B2" s="2" t="n">
        <f aca="false">COUNTIF('All 150 Questions'!B:B,A2)</f>
        <v>10</v>
      </c>
      <c r="C2" s="2" t="s">
        <v>13</v>
      </c>
    </row>
    <row r="3" customFormat="false" ht="15" hidden="false" customHeight="false" outlineLevel="0" collapsed="false">
      <c r="A3" s="2" t="s">
        <v>50</v>
      </c>
      <c r="B3" s="2" t="n">
        <f aca="false">COUNTIF('All 150 Questions'!B:B,A3)</f>
        <v>8</v>
      </c>
      <c r="C3" s="2" t="s">
        <v>55</v>
      </c>
    </row>
    <row r="4" customFormat="false" ht="15" hidden="false" customHeight="false" outlineLevel="0" collapsed="false">
      <c r="A4" s="2" t="s">
        <v>84</v>
      </c>
      <c r="B4" s="2" t="n">
        <f aca="false">COUNTIF('All 150 Questions'!B:B,A4)</f>
        <v>8</v>
      </c>
      <c r="C4" s="2" t="s">
        <v>55</v>
      </c>
    </row>
    <row r="5" customFormat="false" ht="23.85" hidden="false" customHeight="false" outlineLevel="0" collapsed="false">
      <c r="A5" s="2" t="s">
        <v>117</v>
      </c>
      <c r="B5" s="2" t="n">
        <f aca="false">COUNTIF('All 150 Questions'!B:B,A5)</f>
        <v>18</v>
      </c>
      <c r="C5" s="2" t="s">
        <v>122</v>
      </c>
    </row>
    <row r="6" customFormat="false" ht="23.85" hidden="false" customHeight="false" outlineLevel="0" collapsed="false">
      <c r="A6" s="2" t="s">
        <v>191</v>
      </c>
      <c r="B6" s="2" t="n">
        <f aca="false">COUNTIF('All 150 Questions'!B:B,A6)</f>
        <v>14</v>
      </c>
      <c r="C6" s="2" t="s">
        <v>196</v>
      </c>
    </row>
    <row r="7" customFormat="false" ht="23.85" hidden="false" customHeight="false" outlineLevel="0" collapsed="false">
      <c r="A7" s="2" t="s">
        <v>250</v>
      </c>
      <c r="B7" s="2" t="n">
        <f aca="false">COUNTIF('All 150 Questions'!B:B,A7)</f>
        <v>14</v>
      </c>
      <c r="C7" s="2" t="s">
        <v>255</v>
      </c>
    </row>
    <row r="8" customFormat="false" ht="15" hidden="false" customHeight="false" outlineLevel="0" collapsed="false">
      <c r="A8" s="2" t="s">
        <v>308</v>
      </c>
      <c r="B8" s="2" t="n">
        <f aca="false">COUNTIF('All 150 Questions'!B:B,A8)</f>
        <v>12</v>
      </c>
      <c r="C8" s="2" t="s">
        <v>313</v>
      </c>
    </row>
    <row r="9" customFormat="false" ht="15" hidden="false" customHeight="false" outlineLevel="0" collapsed="false">
      <c r="A9" s="2" t="s">
        <v>358</v>
      </c>
      <c r="B9" s="2" t="n">
        <f aca="false">COUNTIF('All 150 Questions'!B:B,A9)</f>
        <v>8</v>
      </c>
      <c r="C9" s="2" t="s">
        <v>363</v>
      </c>
    </row>
    <row r="10" customFormat="false" ht="15" hidden="false" customHeight="false" outlineLevel="0" collapsed="false">
      <c r="A10" s="2" t="s">
        <v>392</v>
      </c>
      <c r="B10" s="2" t="n">
        <f aca="false">COUNTIF('All 150 Questions'!B:B,A10)</f>
        <v>10</v>
      </c>
      <c r="C10" s="2" t="s">
        <v>397</v>
      </c>
    </row>
    <row r="11" customFormat="false" ht="15" hidden="false" customHeight="false" outlineLevel="0" collapsed="false">
      <c r="A11" s="2" t="s">
        <v>434</v>
      </c>
      <c r="B11" s="2" t="n">
        <f aca="false">COUNTIF('All 150 Questions'!B:B,A11)</f>
        <v>6</v>
      </c>
      <c r="C11" s="2" t="s">
        <v>397</v>
      </c>
    </row>
    <row r="12" customFormat="false" ht="15" hidden="false" customHeight="false" outlineLevel="0" collapsed="false">
      <c r="A12" s="2" t="s">
        <v>459</v>
      </c>
      <c r="B12" s="2" t="n">
        <f aca="false">COUNTIF('All 150 Questions'!B:B,A12)</f>
        <v>14</v>
      </c>
      <c r="C12" s="2" t="s">
        <v>397</v>
      </c>
    </row>
    <row r="13" customFormat="false" ht="15" hidden="false" customHeight="false" outlineLevel="0" collapsed="false">
      <c r="A13" s="2" t="s">
        <v>516</v>
      </c>
      <c r="B13" s="2" t="n">
        <f aca="false">COUNTIF('All 150 Questions'!B:B,A13)</f>
        <v>10</v>
      </c>
      <c r="C13" s="2" t="s">
        <v>397</v>
      </c>
    </row>
    <row r="14" customFormat="false" ht="23.85" hidden="false" customHeight="false" outlineLevel="0" collapsed="false">
      <c r="A14" s="2" t="s">
        <v>557</v>
      </c>
      <c r="B14" s="2" t="n">
        <f aca="false">COUNTIF('All 150 Questions'!B:B,A14)</f>
        <v>13</v>
      </c>
      <c r="C14" s="2" t="s">
        <v>562</v>
      </c>
    </row>
    <row r="15" customFormat="false" ht="23.85" hidden="false" customHeight="false" outlineLevel="0" collapsed="false">
      <c r="A15" s="2" t="s">
        <v>611</v>
      </c>
      <c r="B15" s="2" t="n">
        <f aca="false">COUNTIF('All 150 Questions'!B:B,A15)</f>
        <v>5</v>
      </c>
      <c r="C15" s="2" t="s">
        <v>616</v>
      </c>
    </row>
    <row r="16" customFormat="false" ht="15" hidden="false" customHeight="false" outlineLevel="0" collapsed="false">
      <c r="A16" s="10" t="s">
        <v>635</v>
      </c>
      <c r="B16" s="10" t="n">
        <f aca="false">SUM(B2:B15)</f>
        <v>150</v>
      </c>
      <c r="C1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6</v>
      </c>
      <c r="B1" s="1" t="s">
        <v>633</v>
      </c>
      <c r="C1" s="1" t="s">
        <v>636</v>
      </c>
    </row>
    <row r="2" customFormat="false" ht="23.85" hidden="false" customHeight="false" outlineLevel="0" collapsed="false">
      <c r="A2" s="5" t="s">
        <v>122</v>
      </c>
      <c r="B2" s="2" t="n">
        <f aca="false">COUNTIF('All 150 Questions'!G:G,A2)</f>
        <v>18</v>
      </c>
      <c r="C2" s="2" t="s">
        <v>637</v>
      </c>
    </row>
    <row r="3" customFormat="false" ht="23.85" hidden="false" customHeight="false" outlineLevel="0" collapsed="false">
      <c r="A3" s="8" t="s">
        <v>255</v>
      </c>
      <c r="B3" s="2" t="n">
        <f aca="false">COUNTIF('All 150 Questions'!G:G,A3)</f>
        <v>14</v>
      </c>
      <c r="C3" s="2" t="s">
        <v>638</v>
      </c>
    </row>
    <row r="4" customFormat="false" ht="23.85" hidden="false" customHeight="false" outlineLevel="0" collapsed="false">
      <c r="A4" s="4" t="s">
        <v>55</v>
      </c>
      <c r="B4" s="2" t="n">
        <f aca="false">COUNTIF('All 150 Questions'!G:G,A4)</f>
        <v>16</v>
      </c>
      <c r="C4" s="2" t="s">
        <v>639</v>
      </c>
    </row>
    <row r="5" customFormat="false" ht="23.85" hidden="false" customHeight="false" outlineLevel="0" collapsed="false">
      <c r="A5" s="7" t="s">
        <v>237</v>
      </c>
      <c r="B5" s="2" t="n">
        <f aca="false">COUNTIF('All 150 Questions'!G:G,A5)</f>
        <v>7</v>
      </c>
      <c r="C5" s="2" t="s">
        <v>640</v>
      </c>
    </row>
    <row r="6" customFormat="false" ht="15" hidden="false" customHeight="false" outlineLevel="0" collapsed="false">
      <c r="A6" s="6" t="s">
        <v>196</v>
      </c>
      <c r="B6" s="2" t="n">
        <f aca="false">COUNTIF('All 150 Questions'!G:G,A6)</f>
        <v>13</v>
      </c>
      <c r="C6" s="2" t="s">
        <v>641</v>
      </c>
    </row>
    <row r="7" customFormat="false" ht="15" hidden="false" customHeight="false" outlineLevel="0" collapsed="false">
      <c r="A7" s="6" t="s">
        <v>313</v>
      </c>
      <c r="B7" s="2" t="n">
        <f aca="false">COUNTIF('All 150 Questions'!G:G,A7)</f>
        <v>12</v>
      </c>
      <c r="C7" s="2" t="s">
        <v>642</v>
      </c>
    </row>
    <row r="8" customFormat="false" ht="23.85" hidden="false" customHeight="false" outlineLevel="0" collapsed="false">
      <c r="A8" s="6" t="s">
        <v>363</v>
      </c>
      <c r="B8" s="2" t="n">
        <f aca="false">COUNTIF('All 150 Questions'!G:G,A8)</f>
        <v>8</v>
      </c>
      <c r="C8" s="2" t="s">
        <v>643</v>
      </c>
    </row>
    <row r="9" customFormat="false" ht="23.85" hidden="false" customHeight="false" outlineLevel="0" collapsed="false">
      <c r="A9" s="9" t="s">
        <v>562</v>
      </c>
      <c r="B9" s="2" t="n">
        <f aca="false">COUNTIF('All 150 Questions'!G:G,A9)</f>
        <v>12</v>
      </c>
      <c r="C9" s="2" t="s">
        <v>644</v>
      </c>
    </row>
    <row r="10" customFormat="false" ht="23.85" hidden="false" customHeight="false" outlineLevel="0" collapsed="false">
      <c r="A10" s="9" t="s">
        <v>616</v>
      </c>
      <c r="B10" s="2" t="n">
        <f aca="false">COUNTIF('All 150 Questions'!G:G,A10)</f>
        <v>4</v>
      </c>
      <c r="C10" s="2" t="s">
        <v>645</v>
      </c>
    </row>
    <row r="11" customFormat="false" ht="23.85" hidden="false" customHeight="false" outlineLevel="0" collapsed="false">
      <c r="A11" s="3" t="s">
        <v>397</v>
      </c>
      <c r="B11" s="2" t="n">
        <f aca="false">COUNTIF('All 150 Questions'!G:G,A11)</f>
        <v>36</v>
      </c>
      <c r="C11" s="2" t="s">
        <v>646</v>
      </c>
    </row>
    <row r="12" customFormat="false" ht="23.85" hidden="false" customHeight="false" outlineLevel="0" collapsed="false">
      <c r="A12" s="3" t="s">
        <v>13</v>
      </c>
      <c r="B12" s="2" t="n">
        <f aca="false">COUNTIF('All 150 Questions'!G:G,A12)</f>
        <v>10</v>
      </c>
      <c r="C12" s="2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32"/>
    <col collapsed="false" customWidth="true" hidden="false" outlineLevel="0" max="6" min="6" style="0" width="2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648</v>
      </c>
    </row>
    <row r="2" customFormat="false" ht="23.85" hidden="false" customHeight="false" outlineLevel="0" collapsed="false">
      <c r="A2" s="2" t="n">
        <v>11</v>
      </c>
      <c r="B2" s="2" t="s">
        <v>50</v>
      </c>
      <c r="C2" s="2" t="s">
        <v>51</v>
      </c>
      <c r="D2" s="2" t="s">
        <v>52</v>
      </c>
      <c r="E2" s="4" t="s">
        <v>55</v>
      </c>
      <c r="F2" s="2"/>
    </row>
    <row r="3" customFormat="false" ht="23.85" hidden="false" customHeight="false" outlineLevel="0" collapsed="false">
      <c r="A3" s="2" t="n">
        <v>12</v>
      </c>
      <c r="B3" s="2" t="s">
        <v>50</v>
      </c>
      <c r="C3" s="2" t="s">
        <v>56</v>
      </c>
      <c r="D3" s="2" t="s">
        <v>57</v>
      </c>
      <c r="E3" s="4" t="s">
        <v>55</v>
      </c>
      <c r="F3" s="2"/>
    </row>
    <row r="4" customFormat="false" ht="23.85" hidden="false" customHeight="false" outlineLevel="0" collapsed="false">
      <c r="A4" s="2" t="n">
        <v>13</v>
      </c>
      <c r="B4" s="2" t="s">
        <v>50</v>
      </c>
      <c r="C4" s="2" t="s">
        <v>60</v>
      </c>
      <c r="D4" s="2" t="s">
        <v>61</v>
      </c>
      <c r="E4" s="4" t="s">
        <v>55</v>
      </c>
      <c r="F4" s="2"/>
    </row>
    <row r="5" customFormat="false" ht="23.85" hidden="false" customHeight="false" outlineLevel="0" collapsed="false">
      <c r="A5" s="2" t="n">
        <v>14</v>
      </c>
      <c r="B5" s="2" t="s">
        <v>50</v>
      </c>
      <c r="C5" s="2" t="s">
        <v>64</v>
      </c>
      <c r="D5" s="2" t="s">
        <v>65</v>
      </c>
      <c r="E5" s="4" t="s">
        <v>55</v>
      </c>
      <c r="F5" s="2"/>
    </row>
    <row r="6" customFormat="false" ht="23.85" hidden="false" customHeight="false" outlineLevel="0" collapsed="false">
      <c r="A6" s="2" t="n">
        <v>15</v>
      </c>
      <c r="B6" s="2" t="s">
        <v>50</v>
      </c>
      <c r="C6" s="2" t="s">
        <v>68</v>
      </c>
      <c r="D6" s="2" t="s">
        <v>69</v>
      </c>
      <c r="E6" s="4" t="s">
        <v>55</v>
      </c>
      <c r="F6" s="2"/>
    </row>
    <row r="7" customFormat="false" ht="23.85" hidden="false" customHeight="false" outlineLevel="0" collapsed="false">
      <c r="A7" s="2" t="n">
        <v>16</v>
      </c>
      <c r="B7" s="2" t="s">
        <v>50</v>
      </c>
      <c r="C7" s="2" t="s">
        <v>72</v>
      </c>
      <c r="D7" s="2" t="s">
        <v>73</v>
      </c>
      <c r="E7" s="4" t="s">
        <v>55</v>
      </c>
      <c r="F7" s="2"/>
    </row>
    <row r="8" customFormat="false" ht="23.85" hidden="false" customHeight="false" outlineLevel="0" collapsed="false">
      <c r="A8" s="2" t="n">
        <v>17</v>
      </c>
      <c r="B8" s="2" t="s">
        <v>50</v>
      </c>
      <c r="C8" s="2" t="s">
        <v>76</v>
      </c>
      <c r="D8" s="2" t="s">
        <v>77</v>
      </c>
      <c r="E8" s="4" t="s">
        <v>55</v>
      </c>
      <c r="F8" s="2"/>
    </row>
    <row r="9" customFormat="false" ht="35.05" hidden="false" customHeight="false" outlineLevel="0" collapsed="false">
      <c r="A9" s="2" t="n">
        <v>18</v>
      </c>
      <c r="B9" s="2" t="s">
        <v>50</v>
      </c>
      <c r="C9" s="2" t="s">
        <v>80</v>
      </c>
      <c r="D9" s="2" t="s">
        <v>81</v>
      </c>
      <c r="E9" s="4" t="s">
        <v>55</v>
      </c>
      <c r="F9" s="2"/>
    </row>
    <row r="10" customFormat="false" ht="23.85" hidden="false" customHeight="false" outlineLevel="0" collapsed="false">
      <c r="A10" s="2" t="n">
        <v>19</v>
      </c>
      <c r="B10" s="2" t="s">
        <v>84</v>
      </c>
      <c r="C10" s="2" t="s">
        <v>85</v>
      </c>
      <c r="D10" s="2" t="s">
        <v>86</v>
      </c>
      <c r="E10" s="4" t="s">
        <v>55</v>
      </c>
      <c r="F10" s="2"/>
    </row>
    <row r="11" customFormat="false" ht="23.85" hidden="false" customHeight="false" outlineLevel="0" collapsed="false">
      <c r="A11" s="2" t="n">
        <v>20</v>
      </c>
      <c r="B11" s="2" t="s">
        <v>84</v>
      </c>
      <c r="C11" s="2" t="s">
        <v>89</v>
      </c>
      <c r="D11" s="2" t="s">
        <v>90</v>
      </c>
      <c r="E11" s="4" t="s">
        <v>55</v>
      </c>
      <c r="F11" s="2"/>
    </row>
    <row r="12" customFormat="false" ht="23.85" hidden="false" customHeight="false" outlineLevel="0" collapsed="false">
      <c r="A12" s="2" t="n">
        <v>21</v>
      </c>
      <c r="B12" s="2" t="s">
        <v>84</v>
      </c>
      <c r="C12" s="2" t="s">
        <v>93</v>
      </c>
      <c r="D12" s="2" t="s">
        <v>94</v>
      </c>
      <c r="E12" s="4" t="s">
        <v>55</v>
      </c>
      <c r="F12" s="2"/>
    </row>
    <row r="13" customFormat="false" ht="35.05" hidden="false" customHeight="false" outlineLevel="0" collapsed="false">
      <c r="A13" s="2" t="n">
        <v>22</v>
      </c>
      <c r="B13" s="2" t="s">
        <v>84</v>
      </c>
      <c r="C13" s="2" t="s">
        <v>97</v>
      </c>
      <c r="D13" s="2" t="s">
        <v>98</v>
      </c>
      <c r="E13" s="4" t="s">
        <v>55</v>
      </c>
      <c r="F13" s="2"/>
    </row>
    <row r="14" customFormat="false" ht="23.85" hidden="false" customHeight="false" outlineLevel="0" collapsed="false">
      <c r="A14" s="2" t="n">
        <v>23</v>
      </c>
      <c r="B14" s="2" t="s">
        <v>84</v>
      </c>
      <c r="C14" s="2" t="s">
        <v>101</v>
      </c>
      <c r="D14" s="2" t="s">
        <v>102</v>
      </c>
      <c r="E14" s="4" t="s">
        <v>55</v>
      </c>
      <c r="F14" s="2"/>
    </row>
    <row r="15" customFormat="false" ht="23.85" hidden="false" customHeight="false" outlineLevel="0" collapsed="false">
      <c r="A15" s="2" t="n">
        <v>24</v>
      </c>
      <c r="B15" s="2" t="s">
        <v>84</v>
      </c>
      <c r="C15" s="2" t="s">
        <v>105</v>
      </c>
      <c r="D15" s="2" t="s">
        <v>106</v>
      </c>
      <c r="E15" s="4" t="s">
        <v>55</v>
      </c>
      <c r="F15" s="2"/>
    </row>
    <row r="16" customFormat="false" ht="23.85" hidden="false" customHeight="false" outlineLevel="0" collapsed="false">
      <c r="A16" s="2" t="n">
        <v>25</v>
      </c>
      <c r="B16" s="2" t="s">
        <v>84</v>
      </c>
      <c r="C16" s="2" t="s">
        <v>109</v>
      </c>
      <c r="D16" s="2" t="s">
        <v>110</v>
      </c>
      <c r="E16" s="4" t="s">
        <v>55</v>
      </c>
      <c r="F16" s="2"/>
    </row>
    <row r="17" customFormat="false" ht="23.85" hidden="false" customHeight="false" outlineLevel="0" collapsed="false">
      <c r="A17" s="2" t="n">
        <v>26</v>
      </c>
      <c r="B17" s="2" t="s">
        <v>84</v>
      </c>
      <c r="C17" s="2" t="s">
        <v>113</v>
      </c>
      <c r="D17" s="2" t="s">
        <v>114</v>
      </c>
      <c r="E17" s="4" t="s">
        <v>55</v>
      </c>
      <c r="F17" s="2"/>
    </row>
    <row r="18" customFormat="false" ht="35.05" hidden="false" customHeight="false" outlineLevel="0" collapsed="false">
      <c r="A18" s="2" t="n">
        <v>27</v>
      </c>
      <c r="B18" s="2" t="s">
        <v>117</v>
      </c>
      <c r="C18" s="2" t="s">
        <v>118</v>
      </c>
      <c r="D18" s="2" t="s">
        <v>119</v>
      </c>
      <c r="E18" s="5" t="s">
        <v>122</v>
      </c>
      <c r="F18" s="2"/>
    </row>
    <row r="19" customFormat="false" ht="35.05" hidden="false" customHeight="false" outlineLevel="0" collapsed="false">
      <c r="A19" s="2" t="n">
        <v>28</v>
      </c>
      <c r="B19" s="2" t="s">
        <v>117</v>
      </c>
      <c r="C19" s="2" t="s">
        <v>123</v>
      </c>
      <c r="D19" s="2" t="s">
        <v>124</v>
      </c>
      <c r="E19" s="5" t="s">
        <v>122</v>
      </c>
      <c r="F19" s="2"/>
    </row>
    <row r="20" customFormat="false" ht="35.05" hidden="false" customHeight="false" outlineLevel="0" collapsed="false">
      <c r="A20" s="2" t="n">
        <v>29</v>
      </c>
      <c r="B20" s="2" t="s">
        <v>117</v>
      </c>
      <c r="C20" s="2" t="s">
        <v>127</v>
      </c>
      <c r="D20" s="2" t="s">
        <v>128</v>
      </c>
      <c r="E20" s="5" t="s">
        <v>122</v>
      </c>
      <c r="F20" s="2"/>
    </row>
    <row r="21" customFormat="false" ht="35.05" hidden="false" customHeight="false" outlineLevel="0" collapsed="false">
      <c r="A21" s="2" t="n">
        <v>30</v>
      </c>
      <c r="B21" s="2" t="s">
        <v>117</v>
      </c>
      <c r="C21" s="2" t="s">
        <v>131</v>
      </c>
      <c r="D21" s="2" t="s">
        <v>132</v>
      </c>
      <c r="E21" s="5" t="s">
        <v>122</v>
      </c>
      <c r="F21" s="2"/>
    </row>
    <row r="22" customFormat="false" ht="35.05" hidden="false" customHeight="false" outlineLevel="0" collapsed="false">
      <c r="A22" s="2" t="n">
        <v>31</v>
      </c>
      <c r="B22" s="2" t="s">
        <v>117</v>
      </c>
      <c r="C22" s="2" t="s">
        <v>135</v>
      </c>
      <c r="D22" s="2" t="s">
        <v>136</v>
      </c>
      <c r="E22" s="5" t="s">
        <v>122</v>
      </c>
      <c r="F22" s="2"/>
    </row>
    <row r="23" customFormat="false" ht="35.05" hidden="false" customHeight="false" outlineLevel="0" collapsed="false">
      <c r="A23" s="2" t="n">
        <v>32</v>
      </c>
      <c r="B23" s="2" t="s">
        <v>117</v>
      </c>
      <c r="C23" s="2" t="s">
        <v>139</v>
      </c>
      <c r="D23" s="2" t="s">
        <v>140</v>
      </c>
      <c r="E23" s="5" t="s">
        <v>122</v>
      </c>
      <c r="F23" s="2"/>
    </row>
    <row r="24" customFormat="false" ht="35.05" hidden="false" customHeight="false" outlineLevel="0" collapsed="false">
      <c r="A24" s="2" t="n">
        <v>33</v>
      </c>
      <c r="B24" s="2" t="s">
        <v>117</v>
      </c>
      <c r="C24" s="2" t="s">
        <v>143</v>
      </c>
      <c r="D24" s="2" t="s">
        <v>144</v>
      </c>
      <c r="E24" s="5" t="s">
        <v>122</v>
      </c>
      <c r="F24" s="2"/>
    </row>
    <row r="25" customFormat="false" ht="35.05" hidden="false" customHeight="false" outlineLevel="0" collapsed="false">
      <c r="A25" s="2" t="n">
        <v>34</v>
      </c>
      <c r="B25" s="2" t="s">
        <v>117</v>
      </c>
      <c r="C25" s="2" t="s">
        <v>147</v>
      </c>
      <c r="D25" s="2" t="s">
        <v>148</v>
      </c>
      <c r="E25" s="5" t="s">
        <v>122</v>
      </c>
      <c r="F25" s="2"/>
    </row>
    <row r="26" customFormat="false" ht="35.05" hidden="false" customHeight="false" outlineLevel="0" collapsed="false">
      <c r="A26" s="2" t="n">
        <v>35</v>
      </c>
      <c r="B26" s="2" t="s">
        <v>117</v>
      </c>
      <c r="C26" s="2" t="s">
        <v>151</v>
      </c>
      <c r="D26" s="2" t="s">
        <v>152</v>
      </c>
      <c r="E26" s="5" t="s">
        <v>122</v>
      </c>
      <c r="F26" s="2"/>
    </row>
    <row r="27" customFormat="false" ht="35.05" hidden="false" customHeight="false" outlineLevel="0" collapsed="false">
      <c r="A27" s="2" t="n">
        <v>36</v>
      </c>
      <c r="B27" s="2" t="s">
        <v>117</v>
      </c>
      <c r="C27" s="2" t="s">
        <v>155</v>
      </c>
      <c r="D27" s="2" t="s">
        <v>156</v>
      </c>
      <c r="E27" s="5" t="s">
        <v>122</v>
      </c>
      <c r="F27" s="2"/>
    </row>
    <row r="28" customFormat="false" ht="35.05" hidden="false" customHeight="false" outlineLevel="0" collapsed="false">
      <c r="A28" s="2" t="n">
        <v>37</v>
      </c>
      <c r="B28" s="2" t="s">
        <v>117</v>
      </c>
      <c r="C28" s="2" t="s">
        <v>159</v>
      </c>
      <c r="D28" s="2" t="s">
        <v>160</v>
      </c>
      <c r="E28" s="5" t="s">
        <v>122</v>
      </c>
      <c r="F28" s="2"/>
    </row>
    <row r="29" customFormat="false" ht="35.05" hidden="false" customHeight="false" outlineLevel="0" collapsed="false">
      <c r="A29" s="2" t="n">
        <v>38</v>
      </c>
      <c r="B29" s="2" t="s">
        <v>117</v>
      </c>
      <c r="C29" s="2" t="s">
        <v>163</v>
      </c>
      <c r="D29" s="2" t="s">
        <v>164</v>
      </c>
      <c r="E29" s="5" t="s">
        <v>122</v>
      </c>
      <c r="F29" s="2"/>
    </row>
    <row r="30" customFormat="false" ht="35.05" hidden="false" customHeight="false" outlineLevel="0" collapsed="false">
      <c r="A30" s="2" t="n">
        <v>39</v>
      </c>
      <c r="B30" s="2" t="s">
        <v>117</v>
      </c>
      <c r="C30" s="2" t="s">
        <v>167</v>
      </c>
      <c r="D30" s="2" t="s">
        <v>168</v>
      </c>
      <c r="E30" s="5" t="s">
        <v>122</v>
      </c>
      <c r="F30" s="2"/>
    </row>
    <row r="31" customFormat="false" ht="35.05" hidden="false" customHeight="false" outlineLevel="0" collapsed="false">
      <c r="A31" s="2" t="n">
        <v>40</v>
      </c>
      <c r="B31" s="2" t="s">
        <v>117</v>
      </c>
      <c r="C31" s="2" t="s">
        <v>171</v>
      </c>
      <c r="D31" s="2" t="s">
        <v>172</v>
      </c>
      <c r="E31" s="5" t="s">
        <v>122</v>
      </c>
      <c r="F31" s="2"/>
    </row>
    <row r="32" customFormat="false" ht="35.05" hidden="false" customHeight="false" outlineLevel="0" collapsed="false">
      <c r="A32" s="2" t="n">
        <v>41</v>
      </c>
      <c r="B32" s="2" t="s">
        <v>117</v>
      </c>
      <c r="C32" s="2" t="s">
        <v>175</v>
      </c>
      <c r="D32" s="2" t="s">
        <v>176</v>
      </c>
      <c r="E32" s="5" t="s">
        <v>122</v>
      </c>
      <c r="F32" s="2"/>
    </row>
    <row r="33" customFormat="false" ht="35.05" hidden="false" customHeight="false" outlineLevel="0" collapsed="false">
      <c r="A33" s="2" t="n">
        <v>42</v>
      </c>
      <c r="B33" s="2" t="s">
        <v>117</v>
      </c>
      <c r="C33" s="2" t="s">
        <v>179</v>
      </c>
      <c r="D33" s="2" t="s">
        <v>180</v>
      </c>
      <c r="E33" s="5" t="s">
        <v>122</v>
      </c>
      <c r="F33" s="2"/>
    </row>
    <row r="34" customFormat="false" ht="35.05" hidden="false" customHeight="false" outlineLevel="0" collapsed="false">
      <c r="A34" s="2" t="n">
        <v>43</v>
      </c>
      <c r="B34" s="2" t="s">
        <v>117</v>
      </c>
      <c r="C34" s="2" t="s">
        <v>183</v>
      </c>
      <c r="D34" s="2" t="s">
        <v>184</v>
      </c>
      <c r="E34" s="5" t="s">
        <v>122</v>
      </c>
      <c r="F34" s="2"/>
    </row>
    <row r="35" customFormat="false" ht="35.05" hidden="false" customHeight="false" outlineLevel="0" collapsed="false">
      <c r="A35" s="2" t="n">
        <v>44</v>
      </c>
      <c r="B35" s="2" t="s">
        <v>117</v>
      </c>
      <c r="C35" s="2" t="s">
        <v>187</v>
      </c>
      <c r="D35" s="2" t="s">
        <v>188</v>
      </c>
      <c r="E35" s="5" t="s">
        <v>122</v>
      </c>
      <c r="F35" s="2"/>
    </row>
    <row r="36" customFormat="false" ht="35.05" hidden="false" customHeight="false" outlineLevel="0" collapsed="false">
      <c r="A36" s="2" t="n">
        <v>55</v>
      </c>
      <c r="B36" s="2" t="s">
        <v>191</v>
      </c>
      <c r="C36" s="2" t="s">
        <v>233</v>
      </c>
      <c r="D36" s="2" t="s">
        <v>234</v>
      </c>
      <c r="E36" s="7" t="s">
        <v>237</v>
      </c>
      <c r="F36" s="2"/>
    </row>
    <row r="37" customFormat="false" ht="35.05" hidden="false" customHeight="false" outlineLevel="0" collapsed="false">
      <c r="A37" s="2" t="n">
        <v>59</v>
      </c>
      <c r="B37" s="2" t="s">
        <v>250</v>
      </c>
      <c r="C37" s="2" t="s">
        <v>251</v>
      </c>
      <c r="D37" s="2" t="s">
        <v>252</v>
      </c>
      <c r="E37" s="8" t="s">
        <v>255</v>
      </c>
      <c r="F37" s="2"/>
    </row>
    <row r="38" customFormat="false" ht="35.05" hidden="false" customHeight="false" outlineLevel="0" collapsed="false">
      <c r="A38" s="2" t="n">
        <v>60</v>
      </c>
      <c r="B38" s="2" t="s">
        <v>250</v>
      </c>
      <c r="C38" s="2" t="s">
        <v>256</v>
      </c>
      <c r="D38" s="2" t="s">
        <v>257</v>
      </c>
      <c r="E38" s="8" t="s">
        <v>255</v>
      </c>
      <c r="F38" s="2"/>
    </row>
    <row r="39" customFormat="false" ht="35.05" hidden="false" customHeight="false" outlineLevel="0" collapsed="false">
      <c r="A39" s="2" t="n">
        <v>61</v>
      </c>
      <c r="B39" s="2" t="s">
        <v>250</v>
      </c>
      <c r="C39" s="2" t="s">
        <v>260</v>
      </c>
      <c r="D39" s="2" t="s">
        <v>261</v>
      </c>
      <c r="E39" s="8" t="s">
        <v>255</v>
      </c>
      <c r="F39" s="2"/>
    </row>
    <row r="40" customFormat="false" ht="35.05" hidden="false" customHeight="false" outlineLevel="0" collapsed="false">
      <c r="A40" s="2" t="n">
        <v>62</v>
      </c>
      <c r="B40" s="2" t="s">
        <v>250</v>
      </c>
      <c r="C40" s="2" t="s">
        <v>264</v>
      </c>
      <c r="D40" s="2" t="s">
        <v>265</v>
      </c>
      <c r="E40" s="8" t="s">
        <v>255</v>
      </c>
      <c r="F40" s="2"/>
    </row>
    <row r="41" customFormat="false" ht="35.05" hidden="false" customHeight="false" outlineLevel="0" collapsed="false">
      <c r="A41" s="2" t="n">
        <v>63</v>
      </c>
      <c r="B41" s="2" t="s">
        <v>250</v>
      </c>
      <c r="C41" s="2" t="s">
        <v>268</v>
      </c>
      <c r="D41" s="2" t="s">
        <v>269</v>
      </c>
      <c r="E41" s="8" t="s">
        <v>255</v>
      </c>
      <c r="F41" s="2"/>
    </row>
    <row r="42" customFormat="false" ht="35.05" hidden="false" customHeight="false" outlineLevel="0" collapsed="false">
      <c r="A42" s="2" t="n">
        <v>64</v>
      </c>
      <c r="B42" s="2" t="s">
        <v>250</v>
      </c>
      <c r="C42" s="2" t="s">
        <v>272</v>
      </c>
      <c r="D42" s="2" t="s">
        <v>273</v>
      </c>
      <c r="E42" s="8" t="s">
        <v>255</v>
      </c>
      <c r="F42" s="2"/>
    </row>
    <row r="43" customFormat="false" ht="35.05" hidden="false" customHeight="false" outlineLevel="0" collapsed="false">
      <c r="A43" s="2" t="n">
        <v>65</v>
      </c>
      <c r="B43" s="2" t="s">
        <v>250</v>
      </c>
      <c r="C43" s="2" t="s">
        <v>276</v>
      </c>
      <c r="D43" s="2" t="s">
        <v>277</v>
      </c>
      <c r="E43" s="8" t="s">
        <v>255</v>
      </c>
      <c r="F43" s="2"/>
    </row>
    <row r="44" customFormat="false" ht="23.85" hidden="false" customHeight="false" outlineLevel="0" collapsed="false">
      <c r="A44" s="2" t="n">
        <v>66</v>
      </c>
      <c r="B44" s="2" t="s">
        <v>250</v>
      </c>
      <c r="C44" s="2" t="s">
        <v>280</v>
      </c>
      <c r="D44" s="2" t="s">
        <v>281</v>
      </c>
      <c r="E44" s="8" t="s">
        <v>255</v>
      </c>
      <c r="F44" s="2"/>
    </row>
    <row r="45" customFormat="false" ht="23.85" hidden="false" customHeight="false" outlineLevel="0" collapsed="false">
      <c r="A45" s="2" t="n">
        <v>67</v>
      </c>
      <c r="B45" s="2" t="s">
        <v>250</v>
      </c>
      <c r="C45" s="2" t="s">
        <v>284</v>
      </c>
      <c r="D45" s="2" t="s">
        <v>285</v>
      </c>
      <c r="E45" s="8" t="s">
        <v>255</v>
      </c>
      <c r="F45" s="2"/>
    </row>
    <row r="46" customFormat="false" ht="35.05" hidden="false" customHeight="false" outlineLevel="0" collapsed="false">
      <c r="A46" s="2" t="n">
        <v>68</v>
      </c>
      <c r="B46" s="2" t="s">
        <v>250</v>
      </c>
      <c r="C46" s="2" t="s">
        <v>288</v>
      </c>
      <c r="D46" s="2" t="s">
        <v>289</v>
      </c>
      <c r="E46" s="8" t="s">
        <v>255</v>
      </c>
      <c r="F46" s="2"/>
    </row>
    <row r="47" customFormat="false" ht="23.85" hidden="false" customHeight="false" outlineLevel="0" collapsed="false">
      <c r="A47" s="2" t="n">
        <v>69</v>
      </c>
      <c r="B47" s="2" t="s">
        <v>250</v>
      </c>
      <c r="C47" s="2" t="s">
        <v>292</v>
      </c>
      <c r="D47" s="2" t="s">
        <v>293</v>
      </c>
      <c r="E47" s="8" t="s">
        <v>255</v>
      </c>
      <c r="F47" s="2"/>
    </row>
    <row r="48" customFormat="false" ht="35.05" hidden="false" customHeight="false" outlineLevel="0" collapsed="false">
      <c r="A48" s="2" t="n">
        <v>70</v>
      </c>
      <c r="B48" s="2" t="s">
        <v>250</v>
      </c>
      <c r="C48" s="2" t="s">
        <v>296</v>
      </c>
      <c r="D48" s="2" t="s">
        <v>297</v>
      </c>
      <c r="E48" s="8" t="s">
        <v>255</v>
      </c>
      <c r="F48" s="2"/>
    </row>
    <row r="49" customFormat="false" ht="23.85" hidden="false" customHeight="false" outlineLevel="0" collapsed="false">
      <c r="A49" s="2" t="n">
        <v>71</v>
      </c>
      <c r="B49" s="2" t="s">
        <v>250</v>
      </c>
      <c r="C49" s="2" t="s">
        <v>300</v>
      </c>
      <c r="D49" s="2" t="s">
        <v>301</v>
      </c>
      <c r="E49" s="8" t="s">
        <v>255</v>
      </c>
      <c r="F49" s="2"/>
    </row>
    <row r="50" customFormat="false" ht="35.05" hidden="false" customHeight="false" outlineLevel="0" collapsed="false">
      <c r="A50" s="2" t="n">
        <v>72</v>
      </c>
      <c r="B50" s="2" t="s">
        <v>250</v>
      </c>
      <c r="C50" s="2" t="s">
        <v>304</v>
      </c>
      <c r="D50" s="2" t="s">
        <v>305</v>
      </c>
      <c r="E50" s="8" t="s">
        <v>255</v>
      </c>
      <c r="F50" s="2"/>
    </row>
    <row r="51" customFormat="false" ht="23.85" hidden="false" customHeight="false" outlineLevel="0" collapsed="false">
      <c r="A51" s="2" t="n">
        <v>95</v>
      </c>
      <c r="B51" s="2" t="s">
        <v>392</v>
      </c>
      <c r="C51" s="2" t="s">
        <v>402</v>
      </c>
      <c r="D51" s="2" t="s">
        <v>403</v>
      </c>
      <c r="E51" s="7" t="s">
        <v>237</v>
      </c>
      <c r="F51" s="2"/>
    </row>
    <row r="52" customFormat="false" ht="23.85" hidden="false" customHeight="false" outlineLevel="0" collapsed="false">
      <c r="A52" s="2" t="n">
        <v>96</v>
      </c>
      <c r="B52" s="2" t="s">
        <v>392</v>
      </c>
      <c r="C52" s="2" t="s">
        <v>406</v>
      </c>
      <c r="D52" s="2" t="s">
        <v>407</v>
      </c>
      <c r="E52" s="7" t="s">
        <v>237</v>
      </c>
      <c r="F52" s="2"/>
    </row>
    <row r="53" customFormat="false" ht="23.85" hidden="false" customHeight="false" outlineLevel="0" collapsed="false">
      <c r="A53" s="2" t="n">
        <v>104</v>
      </c>
      <c r="B53" s="2" t="s">
        <v>434</v>
      </c>
      <c r="C53" s="2" t="s">
        <v>439</v>
      </c>
      <c r="D53" s="2" t="s">
        <v>440</v>
      </c>
      <c r="E53" s="7" t="s">
        <v>237</v>
      </c>
      <c r="F53" s="2"/>
    </row>
    <row r="54" customFormat="false" ht="23.85" hidden="false" customHeight="false" outlineLevel="0" collapsed="false">
      <c r="A54" s="2" t="n">
        <v>117</v>
      </c>
      <c r="B54" s="2" t="s">
        <v>459</v>
      </c>
      <c r="C54" s="2" t="s">
        <v>492</v>
      </c>
      <c r="D54" s="2" t="s">
        <v>493</v>
      </c>
      <c r="E54" s="7" t="s">
        <v>237</v>
      </c>
      <c r="F54" s="2"/>
    </row>
    <row r="55" customFormat="false" ht="35.05" hidden="false" customHeight="false" outlineLevel="0" collapsed="false">
      <c r="A55" s="2" t="n">
        <v>140</v>
      </c>
      <c r="B55" s="2" t="s">
        <v>557</v>
      </c>
      <c r="C55" s="2" t="s">
        <v>587</v>
      </c>
      <c r="D55" s="2" t="s">
        <v>588</v>
      </c>
      <c r="E55" s="7" t="s">
        <v>237</v>
      </c>
      <c r="F55" s="2"/>
    </row>
    <row r="56" customFormat="false" ht="35.05" hidden="false" customHeight="false" outlineLevel="0" collapsed="false">
      <c r="A56" s="2" t="n">
        <v>149</v>
      </c>
      <c r="B56" s="2" t="s">
        <v>611</v>
      </c>
      <c r="C56" s="2" t="s">
        <v>625</v>
      </c>
      <c r="D56" s="2" t="s">
        <v>626</v>
      </c>
      <c r="E56" s="7" t="s">
        <v>237</v>
      </c>
      <c r="F56" s="2"/>
    </row>
    <row r="58" customFormat="false" ht="15" hidden="false" customHeight="false" outlineLevel="0" collapsed="false">
      <c r="A58" s="11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2026-08-03T03:09:56Z</dcterms:created>
  <dc:creator>openpyxl</dc:creator>
  <dc:description/>
  <dc:language>en-US</dc:language>
  <cp:lastModifiedBy/>
  <dcterms:modified xsi:type="dcterms:W3CDTF">2026-08-03T03:09:56Z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